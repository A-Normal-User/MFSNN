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File\2025-2026秋\上课\VLE_repair_plan\test\"/>
    </mc:Choice>
  </mc:AlternateContent>
  <xr:revisionPtr revIDLastSave="0" documentId="13_ncr:1_{0442FF61-FD52-49E1-B84C-874D3400D806}" xr6:coauthVersionLast="47" xr6:coauthVersionMax="47" xr10:uidLastSave="{00000000-0000-0000-0000-000000000000}"/>
  <bookViews>
    <workbookView xWindow="11438" yWindow="0" windowWidth="11684" windowHeight="13763" xr2:uid="{00000000-000D-0000-FFFF-FFFF00000000}"/>
  </bookViews>
  <sheets>
    <sheet name="Sheet1" sheetId="1" r:id="rId1"/>
  </sheets>
  <definedNames>
    <definedName name="_xlnm._FilterDatabase" localSheetId="0" hidden="1">Sheet1!$A$1:$M$152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1" i="1" l="1"/>
  <c r="M142" i="1"/>
  <c r="M143" i="1"/>
  <c r="M144" i="1"/>
  <c r="M145" i="1"/>
  <c r="M146" i="1"/>
  <c r="M147" i="1"/>
  <c r="M148" i="1"/>
  <c r="M149" i="1"/>
  <c r="M150" i="1"/>
  <c r="M151" i="1"/>
  <c r="M152" i="1"/>
  <c r="I142" i="1"/>
  <c r="I143" i="1"/>
  <c r="I144" i="1"/>
  <c r="I145" i="1"/>
  <c r="I146" i="1"/>
  <c r="I147" i="1"/>
  <c r="I148" i="1"/>
  <c r="I149" i="1"/>
  <c r="I150" i="1"/>
  <c r="I151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I1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</calcChain>
</file>

<file path=xl/sharedStrings.xml><?xml version="1.0" encoding="utf-8"?>
<sst xmlns="http://schemas.openxmlformats.org/spreadsheetml/2006/main" count="466" uniqueCount="38">
  <si>
    <t>mol1</t>
    <phoneticPr fontId="1" type="noConversion"/>
  </si>
  <si>
    <t>mol2</t>
    <phoneticPr fontId="1" type="noConversion"/>
  </si>
  <si>
    <t>x1</t>
    <phoneticPr fontId="1" type="noConversion"/>
  </si>
  <si>
    <t>y1</t>
    <phoneticPr fontId="1" type="noConversion"/>
  </si>
  <si>
    <t>T</t>
    <phoneticPr fontId="1" type="noConversion"/>
  </si>
  <si>
    <t>P</t>
    <phoneticPr fontId="1" type="noConversion"/>
  </si>
  <si>
    <t>N-HEXANE</t>
  </si>
  <si>
    <t>METHANOL</t>
  </si>
  <si>
    <t>N-HEXANE</t>
    <phoneticPr fontId="1" type="noConversion"/>
  </si>
  <si>
    <t>METHANOL</t>
    <phoneticPr fontId="1" type="noConversion"/>
  </si>
  <si>
    <t>tag</t>
    <phoneticPr fontId="1" type="noConversion"/>
  </si>
  <si>
    <t>1-DECENE</t>
  </si>
  <si>
    <t>METHYL-ACETATE</t>
  </si>
  <si>
    <t>1-CHLOROPENTANE</t>
  </si>
  <si>
    <t>N-PROPIONALDEHYDE</t>
  </si>
  <si>
    <t>ETHANOL</t>
  </si>
  <si>
    <t>1,1,1-TRIFLUOROETHANE</t>
  </si>
  <si>
    <t>ISOBUTYLENE</t>
  </si>
  <si>
    <t>y_pred</t>
    <phoneticPr fontId="1" type="noConversion"/>
  </si>
  <si>
    <t>y_aard</t>
    <phoneticPr fontId="1" type="noConversion"/>
  </si>
  <si>
    <t>T_pred</t>
    <phoneticPr fontId="1" type="noConversion"/>
  </si>
  <si>
    <t>T_aard</t>
    <phoneticPr fontId="1" type="noConversion"/>
  </si>
  <si>
    <t>P_pred</t>
    <phoneticPr fontId="1" type="noConversion"/>
  </si>
  <si>
    <t>P_aard</t>
    <phoneticPr fontId="1" type="noConversion"/>
  </si>
  <si>
    <t>1-DECENE</t>
    <phoneticPr fontId="1" type="noConversion"/>
  </si>
  <si>
    <t>METHYL-ACETATE</t>
    <phoneticPr fontId="1" type="noConversion"/>
  </si>
  <si>
    <t>1-CHLOROPENTANE</t>
    <phoneticPr fontId="1" type="noConversion"/>
  </si>
  <si>
    <t>N-PROPIONALDEHYDE</t>
    <phoneticPr fontId="1" type="noConversion"/>
  </si>
  <si>
    <t>1,1,1-TRIFLUOROETHANE</t>
    <phoneticPr fontId="1" type="noConversion"/>
  </si>
  <si>
    <t>ISOBUTYLENE</t>
    <phoneticPr fontId="1" type="noConversion"/>
  </si>
  <si>
    <t>1-DECENE</t>
    <phoneticPr fontId="1" type="noConversion"/>
  </si>
  <si>
    <t>METHYL-ACETATE</t>
    <phoneticPr fontId="1" type="noConversion"/>
  </si>
  <si>
    <t>1-CHLOROPENTANE</t>
    <phoneticPr fontId="1" type="noConversion"/>
  </si>
  <si>
    <t>N-PROPIONALDEHYDE</t>
    <phoneticPr fontId="1" type="noConversion"/>
  </si>
  <si>
    <t>ETHANOL</t>
    <phoneticPr fontId="1" type="noConversion"/>
  </si>
  <si>
    <t>ISOBUTYLENE</t>
    <phoneticPr fontId="1" type="noConversion"/>
  </si>
  <si>
    <t>1,1,1-TRIFLUOROETHANE</t>
    <phoneticPr fontId="1" type="noConversion"/>
  </si>
  <si>
    <t>ISOBUTYLENE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</si>
</sst>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topLeftCell="D1" workbookViewId="0">
      <pane ySplit="1" topLeftCell="A127" activePane="bottomLeft" state="frozen"/>
      <selection pane="bottomLeft" activeCell="J134" sqref="J134"/>
    </sheetView>
  </sheetViews>
  <sheetFormatPr defaultRowHeight="13.9" x14ac:dyDescent="0.4"/>
  <cols>
    <col min="1" max="1" width="23.265625" bestFit="1" customWidth="1"/>
    <col min="2" max="2" width="19.1328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4">
      <c r="A2" t="s">
        <v>6</v>
      </c>
      <c r="B2" t="s">
        <v>7</v>
      </c>
      <c r="C2">
        <v>0.01</v>
      </c>
      <c r="D2">
        <v>0.11700000000000001</v>
      </c>
      <c r="E2">
        <v>343.53</v>
      </c>
      <c r="F2">
        <v>141300</v>
      </c>
      <c r="G2" t="s">
        <v>5</v>
      </c>
      <c r="H2">
        <v>0.1296853</v>
      </c>
      <c r="I2">
        <f t="shared" ref="I2:I28" si="0">100*ABS((H2-D2)/D2)</f>
        <v>10.842136752136748</v>
      </c>
      <c r="J2">
        <v>342.94441</v>
      </c>
      <c r="K2">
        <f t="shared" ref="K2:K23" si="1">100*ABS((J2-E2)/E2)</f>
        <v>0.17046255057781501</v>
      </c>
    </row>
    <row r="3" spans="1:13" x14ac:dyDescent="0.4">
      <c r="A3" t="s">
        <v>8</v>
      </c>
      <c r="B3" t="s">
        <v>9</v>
      </c>
      <c r="C3">
        <v>1.9E-2</v>
      </c>
      <c r="D3">
        <v>0.20899999999999999</v>
      </c>
      <c r="E3">
        <v>341.23</v>
      </c>
      <c r="F3">
        <v>141300</v>
      </c>
      <c r="G3" t="s">
        <v>5</v>
      </c>
      <c r="H3">
        <v>0.2179268</v>
      </c>
      <c r="I3">
        <f t="shared" si="0"/>
        <v>4.2711961722488097</v>
      </c>
      <c r="J3">
        <v>340.36801000000003</v>
      </c>
      <c r="K3">
        <f t="shared" si="1"/>
        <v>0.25261260733229535</v>
      </c>
    </row>
    <row r="4" spans="1:13" x14ac:dyDescent="0.4">
      <c r="A4" t="s">
        <v>6</v>
      </c>
      <c r="B4" t="s">
        <v>7</v>
      </c>
      <c r="C4">
        <v>3.2000000000000001E-2</v>
      </c>
      <c r="D4">
        <v>0.28199999999999997</v>
      </c>
      <c r="E4">
        <v>338.48</v>
      </c>
      <c r="F4">
        <v>141300</v>
      </c>
      <c r="G4" t="s">
        <v>5</v>
      </c>
      <c r="H4">
        <v>0.31224160000000001</v>
      </c>
      <c r="I4">
        <f t="shared" si="0"/>
        <v>10.723971631205687</v>
      </c>
      <c r="J4">
        <v>337.3571</v>
      </c>
      <c r="K4">
        <f t="shared" si="1"/>
        <v>0.3317478137556179</v>
      </c>
    </row>
    <row r="5" spans="1:13" x14ac:dyDescent="0.4">
      <c r="A5" t="s">
        <v>6</v>
      </c>
      <c r="B5" t="s">
        <v>7</v>
      </c>
      <c r="C5">
        <v>0.06</v>
      </c>
      <c r="D5">
        <v>0.38800000000000001</v>
      </c>
      <c r="E5">
        <v>334.37</v>
      </c>
      <c r="F5">
        <v>141300</v>
      </c>
      <c r="G5" t="s">
        <v>5</v>
      </c>
      <c r="H5">
        <v>0.43522270000000002</v>
      </c>
      <c r="I5">
        <f t="shared" si="0"/>
        <v>12.170798969072166</v>
      </c>
      <c r="J5">
        <v>332.94337000000002</v>
      </c>
      <c r="K5">
        <f t="shared" si="1"/>
        <v>0.42666208092830959</v>
      </c>
    </row>
    <row r="6" spans="1:13" x14ac:dyDescent="0.4">
      <c r="A6" t="s">
        <v>6</v>
      </c>
      <c r="B6" t="s">
        <v>7</v>
      </c>
      <c r="C6">
        <v>9.0999999999999998E-2</v>
      </c>
      <c r="D6">
        <v>0.43</v>
      </c>
      <c r="E6">
        <v>333.07</v>
      </c>
      <c r="F6">
        <v>141300</v>
      </c>
      <c r="G6" t="s">
        <v>5</v>
      </c>
      <c r="H6">
        <v>0.48602630000000002</v>
      </c>
      <c r="I6">
        <f t="shared" si="0"/>
        <v>13.029372093023262</v>
      </c>
      <c r="J6">
        <v>330.93477000000001</v>
      </c>
      <c r="K6">
        <f t="shared" si="1"/>
        <v>0.6410754496051817</v>
      </c>
    </row>
    <row r="7" spans="1:13" x14ac:dyDescent="0.4">
      <c r="A7" t="s">
        <v>6</v>
      </c>
      <c r="B7" t="s">
        <v>7</v>
      </c>
      <c r="C7">
        <v>0.14499999999999999</v>
      </c>
      <c r="D7">
        <v>0.46400000000000002</v>
      </c>
      <c r="E7">
        <v>332.15</v>
      </c>
      <c r="F7">
        <v>141300</v>
      </c>
      <c r="G7" t="s">
        <v>5</v>
      </c>
      <c r="H7">
        <v>0.48602630000000002</v>
      </c>
      <c r="I7">
        <f t="shared" si="0"/>
        <v>4.7470474137931022</v>
      </c>
      <c r="J7">
        <v>330.93477000000001</v>
      </c>
      <c r="K7">
        <f t="shared" si="1"/>
        <v>0.36586783079932644</v>
      </c>
    </row>
    <row r="8" spans="1:13" x14ac:dyDescent="0.4">
      <c r="A8" t="s">
        <v>8</v>
      </c>
      <c r="B8" t="s">
        <v>7</v>
      </c>
      <c r="C8">
        <v>0.17799999999999999</v>
      </c>
      <c r="D8">
        <v>0.47199999999999998</v>
      </c>
      <c r="E8">
        <v>331.84</v>
      </c>
      <c r="F8">
        <v>141300</v>
      </c>
      <c r="G8" t="s">
        <v>5</v>
      </c>
      <c r="H8">
        <v>0.48602630000000002</v>
      </c>
      <c r="I8">
        <f t="shared" si="0"/>
        <v>2.9716737288135695</v>
      </c>
      <c r="J8">
        <v>330.93477000000001</v>
      </c>
      <c r="K8">
        <f t="shared" si="1"/>
        <v>0.27279110414656477</v>
      </c>
    </row>
    <row r="9" spans="1:13" x14ac:dyDescent="0.4">
      <c r="A9" t="s">
        <v>6</v>
      </c>
      <c r="B9" t="s">
        <v>7</v>
      </c>
      <c r="C9">
        <v>0.224</v>
      </c>
      <c r="D9">
        <v>0.48099999999999998</v>
      </c>
      <c r="E9">
        <v>331.66</v>
      </c>
      <c r="F9">
        <v>141300</v>
      </c>
      <c r="G9" t="s">
        <v>5</v>
      </c>
      <c r="H9">
        <v>0.48602630000000002</v>
      </c>
      <c r="I9">
        <f t="shared" si="0"/>
        <v>1.044968814968823</v>
      </c>
      <c r="J9">
        <v>330.93477000000001</v>
      </c>
      <c r="K9">
        <f t="shared" si="1"/>
        <v>0.21866670686848294</v>
      </c>
    </row>
    <row r="10" spans="1:13" x14ac:dyDescent="0.4">
      <c r="A10" t="s">
        <v>6</v>
      </c>
      <c r="B10" t="s">
        <v>7</v>
      </c>
      <c r="C10">
        <v>0.25900000000000001</v>
      </c>
      <c r="D10">
        <v>0.48099999999999998</v>
      </c>
      <c r="E10">
        <v>331.59</v>
      </c>
      <c r="F10">
        <v>141300</v>
      </c>
      <c r="G10" t="s">
        <v>5</v>
      </c>
      <c r="H10">
        <v>0.48602630000000002</v>
      </c>
      <c r="I10">
        <f t="shared" si="0"/>
        <v>1.044968814968823</v>
      </c>
      <c r="J10">
        <v>330.93477000000001</v>
      </c>
      <c r="K10">
        <f t="shared" si="1"/>
        <v>0.19760246087034006</v>
      </c>
    </row>
    <row r="11" spans="1:13" x14ac:dyDescent="0.4">
      <c r="A11" t="s">
        <v>6</v>
      </c>
      <c r="B11" t="s">
        <v>7</v>
      </c>
      <c r="C11">
        <v>0.35</v>
      </c>
      <c r="D11">
        <v>0.48399999999999999</v>
      </c>
      <c r="E11">
        <v>331.53</v>
      </c>
      <c r="F11">
        <v>141300</v>
      </c>
      <c r="G11" t="s">
        <v>5</v>
      </c>
      <c r="H11">
        <v>0.48602630000000002</v>
      </c>
      <c r="I11">
        <f t="shared" si="0"/>
        <v>0.41865702479339595</v>
      </c>
      <c r="J11">
        <v>330.93477000000001</v>
      </c>
      <c r="K11">
        <f t="shared" si="1"/>
        <v>0.17954031309382507</v>
      </c>
    </row>
    <row r="12" spans="1:13" x14ac:dyDescent="0.4">
      <c r="A12" t="s">
        <v>6</v>
      </c>
      <c r="B12" t="s">
        <v>7</v>
      </c>
      <c r="C12">
        <v>0.442</v>
      </c>
      <c r="D12">
        <v>0.48499999999999999</v>
      </c>
      <c r="E12">
        <v>331.52</v>
      </c>
      <c r="F12">
        <v>141300</v>
      </c>
      <c r="G12" t="s">
        <v>5</v>
      </c>
      <c r="H12">
        <v>0.48602630000000002</v>
      </c>
      <c r="I12">
        <f t="shared" si="0"/>
        <v>0.21160824742268775</v>
      </c>
      <c r="J12">
        <v>330.93477000000001</v>
      </c>
      <c r="K12">
        <f t="shared" si="1"/>
        <v>0.17652931949805964</v>
      </c>
    </row>
    <row r="13" spans="1:13" x14ac:dyDescent="0.4">
      <c r="A13" t="s">
        <v>6</v>
      </c>
      <c r="B13" t="s">
        <v>7</v>
      </c>
      <c r="C13">
        <v>0.51900000000000002</v>
      </c>
      <c r="D13">
        <v>0.48699999999999999</v>
      </c>
      <c r="E13">
        <v>331.52</v>
      </c>
      <c r="F13">
        <v>141300</v>
      </c>
      <c r="G13" t="s">
        <v>5</v>
      </c>
      <c r="H13">
        <v>0.48602630000000002</v>
      </c>
      <c r="I13">
        <f t="shared" si="0"/>
        <v>0.19993839835728261</v>
      </c>
      <c r="J13">
        <v>330.93477000000001</v>
      </c>
      <c r="K13">
        <f t="shared" si="1"/>
        <v>0.17652931949805964</v>
      </c>
    </row>
    <row r="14" spans="1:13" x14ac:dyDescent="0.4">
      <c r="A14" t="s">
        <v>6</v>
      </c>
      <c r="B14" t="s">
        <v>7</v>
      </c>
      <c r="C14">
        <v>0.62</v>
      </c>
      <c r="D14">
        <v>0.48899999999999999</v>
      </c>
      <c r="E14">
        <v>331.52</v>
      </c>
      <c r="F14">
        <v>141300</v>
      </c>
      <c r="G14" t="s">
        <v>5</v>
      </c>
      <c r="H14">
        <v>0.48602630000000002</v>
      </c>
      <c r="I14">
        <f t="shared" si="0"/>
        <v>0.60811860940694651</v>
      </c>
      <c r="J14">
        <v>330.93477000000001</v>
      </c>
      <c r="K14">
        <f t="shared" si="1"/>
        <v>0.17652931949805964</v>
      </c>
    </row>
    <row r="15" spans="1:13" x14ac:dyDescent="0.4">
      <c r="A15" t="s">
        <v>6</v>
      </c>
      <c r="B15" t="s">
        <v>7</v>
      </c>
      <c r="C15">
        <v>0.71899999999999997</v>
      </c>
      <c r="D15">
        <v>0.49099999999999999</v>
      </c>
      <c r="E15">
        <v>331.59</v>
      </c>
      <c r="F15">
        <v>141300</v>
      </c>
      <c r="G15" t="s">
        <v>5</v>
      </c>
      <c r="H15">
        <v>0.48602630000000002</v>
      </c>
      <c r="I15">
        <f t="shared" si="0"/>
        <v>1.0129735234215824</v>
      </c>
      <c r="J15">
        <v>330.93477000000001</v>
      </c>
      <c r="K15">
        <f t="shared" si="1"/>
        <v>0.19760246087034006</v>
      </c>
    </row>
    <row r="16" spans="1:13" x14ac:dyDescent="0.4">
      <c r="A16" t="s">
        <v>6</v>
      </c>
      <c r="B16" t="s">
        <v>7</v>
      </c>
      <c r="C16">
        <v>0.80900000000000005</v>
      </c>
      <c r="D16">
        <v>0.496</v>
      </c>
      <c r="E16">
        <v>331.83</v>
      </c>
      <c r="F16">
        <v>141300</v>
      </c>
      <c r="G16" t="s">
        <v>5</v>
      </c>
      <c r="H16">
        <v>0.48602630000000002</v>
      </c>
      <c r="I16">
        <f t="shared" si="0"/>
        <v>2.0108266129032204</v>
      </c>
      <c r="J16">
        <v>330.93477000000001</v>
      </c>
      <c r="K16">
        <f t="shared" si="1"/>
        <v>0.26978573365879205</v>
      </c>
    </row>
    <row r="17" spans="1:13" x14ac:dyDescent="0.4">
      <c r="A17" t="s">
        <v>6</v>
      </c>
      <c r="B17" t="s">
        <v>9</v>
      </c>
      <c r="C17">
        <v>0.90500000000000003</v>
      </c>
      <c r="D17">
        <v>0.51900000000000002</v>
      </c>
      <c r="E17">
        <v>332.7</v>
      </c>
      <c r="F17">
        <v>141300</v>
      </c>
      <c r="G17" t="s">
        <v>5</v>
      </c>
      <c r="H17">
        <v>0.48602630000000002</v>
      </c>
      <c r="I17">
        <f t="shared" si="0"/>
        <v>6.3533140655105953</v>
      </c>
      <c r="J17">
        <v>330.93477000000001</v>
      </c>
      <c r="K17">
        <f t="shared" si="1"/>
        <v>0.53057709648331053</v>
      </c>
    </row>
    <row r="18" spans="1:13" x14ac:dyDescent="0.4">
      <c r="A18" t="s">
        <v>6</v>
      </c>
      <c r="B18" t="s">
        <v>7</v>
      </c>
      <c r="C18">
        <v>0.95399999999999996</v>
      </c>
      <c r="D18">
        <v>0.54500000000000004</v>
      </c>
      <c r="E18">
        <v>334.24</v>
      </c>
      <c r="F18">
        <v>141300</v>
      </c>
      <c r="G18" t="s">
        <v>5</v>
      </c>
      <c r="H18">
        <v>0.48602630000000002</v>
      </c>
      <c r="I18">
        <f t="shared" si="0"/>
        <v>10.820862385321103</v>
      </c>
      <c r="J18">
        <v>330.93477000000001</v>
      </c>
      <c r="K18">
        <f t="shared" si="1"/>
        <v>0.98887924844423014</v>
      </c>
    </row>
    <row r="19" spans="1:13" x14ac:dyDescent="0.4">
      <c r="A19" t="s">
        <v>6</v>
      </c>
      <c r="B19" t="s">
        <v>7</v>
      </c>
      <c r="C19">
        <v>0.97</v>
      </c>
      <c r="D19">
        <v>0.57099999999999995</v>
      </c>
      <c r="E19">
        <v>335.8</v>
      </c>
      <c r="F19">
        <v>141300</v>
      </c>
      <c r="G19" t="s">
        <v>5</v>
      </c>
      <c r="H19">
        <v>0.55352900000000005</v>
      </c>
      <c r="I19">
        <f t="shared" si="0"/>
        <v>3.0597197898423651</v>
      </c>
      <c r="J19">
        <v>334.59145000000001</v>
      </c>
      <c r="K19">
        <f t="shared" si="1"/>
        <v>0.35990172721858321</v>
      </c>
    </row>
    <row r="20" spans="1:13" x14ac:dyDescent="0.4">
      <c r="A20" t="s">
        <v>6</v>
      </c>
      <c r="B20" t="s">
        <v>7</v>
      </c>
      <c r="C20">
        <v>0.97499999999999998</v>
      </c>
      <c r="D20">
        <v>0.59899999999999998</v>
      </c>
      <c r="E20">
        <v>337.17</v>
      </c>
      <c r="F20">
        <v>141300</v>
      </c>
      <c r="G20" t="s">
        <v>5</v>
      </c>
      <c r="H20">
        <v>0.59075330000000004</v>
      </c>
      <c r="I20">
        <f t="shared" si="0"/>
        <v>1.3767445742904743</v>
      </c>
      <c r="J20">
        <v>336.47651000000002</v>
      </c>
      <c r="K20">
        <f t="shared" si="1"/>
        <v>0.20567962748761665</v>
      </c>
    </row>
    <row r="21" spans="1:13" x14ac:dyDescent="0.4">
      <c r="A21" t="s">
        <v>6</v>
      </c>
      <c r="B21" t="s">
        <v>7</v>
      </c>
      <c r="C21">
        <v>0.98399999999999999</v>
      </c>
      <c r="D21">
        <v>0.66700000000000004</v>
      </c>
      <c r="E21">
        <v>340.21</v>
      </c>
      <c r="F21">
        <v>141300</v>
      </c>
      <c r="G21" t="s">
        <v>5</v>
      </c>
      <c r="H21">
        <v>0.68369199999999997</v>
      </c>
      <c r="I21">
        <f t="shared" si="0"/>
        <v>2.5025487256371708</v>
      </c>
      <c r="J21">
        <v>340.83355999999998</v>
      </c>
      <c r="K21">
        <f t="shared" si="1"/>
        <v>0.18328679345110305</v>
      </c>
    </row>
    <row r="22" spans="1:13" x14ac:dyDescent="0.4">
      <c r="A22" t="s">
        <v>6</v>
      </c>
      <c r="B22" t="s">
        <v>7</v>
      </c>
      <c r="C22">
        <v>0.99099999999999999</v>
      </c>
      <c r="D22">
        <v>0.745</v>
      </c>
      <c r="E22">
        <v>343.75</v>
      </c>
      <c r="F22">
        <v>141300</v>
      </c>
      <c r="G22" t="s">
        <v>5</v>
      </c>
      <c r="H22">
        <v>0.79037820000000003</v>
      </c>
      <c r="I22">
        <f t="shared" si="0"/>
        <v>6.0910335570469849</v>
      </c>
      <c r="J22">
        <v>345.32506999999998</v>
      </c>
      <c r="K22">
        <f t="shared" si="1"/>
        <v>0.45820218181817673</v>
      </c>
    </row>
    <row r="23" spans="1:13" x14ac:dyDescent="0.4">
      <c r="A23" t="s">
        <v>6</v>
      </c>
      <c r="B23" t="s">
        <v>7</v>
      </c>
      <c r="C23">
        <v>0.99399999999999999</v>
      </c>
      <c r="D23">
        <v>0.81899999999999995</v>
      </c>
      <c r="E23">
        <v>346.6</v>
      </c>
      <c r="F23">
        <v>141300</v>
      </c>
      <c r="G23" t="s">
        <v>5</v>
      </c>
      <c r="H23">
        <v>0.84933239999999999</v>
      </c>
      <c r="I23">
        <f t="shared" si="0"/>
        <v>3.7035897435897485</v>
      </c>
      <c r="J23">
        <v>347.61493999999999</v>
      </c>
      <c r="K23">
        <f t="shared" si="1"/>
        <v>0.29282746682053296</v>
      </c>
    </row>
    <row r="24" spans="1:13" x14ac:dyDescent="0.4">
      <c r="A24" t="s">
        <v>6</v>
      </c>
      <c r="B24" t="s">
        <v>7</v>
      </c>
      <c r="C24">
        <v>0</v>
      </c>
      <c r="D24">
        <v>0</v>
      </c>
      <c r="E24">
        <v>333.13440000000003</v>
      </c>
      <c r="F24">
        <v>83900</v>
      </c>
      <c r="G24" t="s">
        <v>4</v>
      </c>
      <c r="H24">
        <v>0</v>
      </c>
      <c r="L24">
        <v>84477.83</v>
      </c>
      <c r="M24">
        <f t="shared" ref="M24:M28" si="2">100*ABS((L24-F24)/F24)</f>
        <v>0.68871275327771364</v>
      </c>
    </row>
    <row r="25" spans="1:13" x14ac:dyDescent="0.4">
      <c r="A25" t="s">
        <v>6</v>
      </c>
      <c r="B25" t="s">
        <v>7</v>
      </c>
      <c r="C25">
        <v>0.02</v>
      </c>
      <c r="D25">
        <v>0.23699999999999999</v>
      </c>
      <c r="E25">
        <v>333.13440000000003</v>
      </c>
      <c r="F25">
        <v>110470</v>
      </c>
      <c r="G25" t="s">
        <v>4</v>
      </c>
      <c r="H25">
        <v>0.245729</v>
      </c>
      <c r="I25">
        <f t="shared" si="0"/>
        <v>3.6831223628692045</v>
      </c>
      <c r="L25">
        <v>109920.7</v>
      </c>
      <c r="M25">
        <f t="shared" si="2"/>
        <v>0.49723906943061724</v>
      </c>
    </row>
    <row r="26" spans="1:13" x14ac:dyDescent="0.4">
      <c r="A26" t="s">
        <v>6</v>
      </c>
      <c r="B26" t="s">
        <v>7</v>
      </c>
      <c r="C26">
        <v>2.1000000000000001E-2</v>
      </c>
      <c r="D26">
        <v>0.248</v>
      </c>
      <c r="E26">
        <v>333.13440000000003</v>
      </c>
      <c r="F26">
        <v>111480</v>
      </c>
      <c r="G26" t="s">
        <v>4</v>
      </c>
      <c r="H26">
        <v>0.25370009999999998</v>
      </c>
      <c r="I26">
        <f t="shared" si="0"/>
        <v>2.2984274193548329</v>
      </c>
      <c r="L26">
        <v>110997.9</v>
      </c>
      <c r="M26">
        <f t="shared" si="2"/>
        <v>0.4324542518837512</v>
      </c>
    </row>
    <row r="27" spans="1:13" x14ac:dyDescent="0.4">
      <c r="A27" t="s">
        <v>6</v>
      </c>
      <c r="B27" t="s">
        <v>7</v>
      </c>
      <c r="C27">
        <v>3.3000000000000002E-2</v>
      </c>
      <c r="D27">
        <v>0.28599999999999998</v>
      </c>
      <c r="E27">
        <v>333.13440000000003</v>
      </c>
      <c r="F27">
        <v>116670</v>
      </c>
      <c r="G27" t="s">
        <v>4</v>
      </c>
      <c r="H27">
        <v>0.3316016</v>
      </c>
      <c r="I27">
        <f t="shared" si="0"/>
        <v>15.944615384615393</v>
      </c>
      <c r="L27">
        <v>122700.9</v>
      </c>
      <c r="M27">
        <f t="shared" si="2"/>
        <v>5.1691951658523996</v>
      </c>
    </row>
    <row r="28" spans="1:13" x14ac:dyDescent="0.4">
      <c r="A28" t="s">
        <v>6</v>
      </c>
      <c r="B28" t="s">
        <v>7</v>
      </c>
      <c r="C28">
        <v>3.7999999999999999E-2</v>
      </c>
      <c r="D28">
        <v>0.31900000000000001</v>
      </c>
      <c r="E28">
        <v>333.13440000000003</v>
      </c>
      <c r="F28">
        <v>121590</v>
      </c>
      <c r="G28" t="s">
        <v>4</v>
      </c>
      <c r="H28">
        <v>0.3565934</v>
      </c>
      <c r="I28">
        <f t="shared" si="0"/>
        <v>11.784764890282132</v>
      </c>
      <c r="L28">
        <v>126967.7</v>
      </c>
      <c r="M28">
        <f t="shared" si="2"/>
        <v>4.4228143761822487</v>
      </c>
    </row>
    <row r="29" spans="1:13" x14ac:dyDescent="0.4">
      <c r="A29" t="s">
        <v>6</v>
      </c>
      <c r="B29" t="s">
        <v>7</v>
      </c>
      <c r="C29">
        <v>4.9000000000000002E-2</v>
      </c>
      <c r="D29">
        <v>0.35499999999999998</v>
      </c>
      <c r="E29">
        <v>333.13440000000003</v>
      </c>
      <c r="F29">
        <v>126470</v>
      </c>
      <c r="G29" t="s">
        <v>4</v>
      </c>
      <c r="H29">
        <v>0.40092650000000002</v>
      </c>
      <c r="I29">
        <f t="shared" ref="I29:I92" si="3">100*ABS((H29-D29)/D29)</f>
        <v>12.937042253521138</v>
      </c>
      <c r="L29">
        <v>135257.5</v>
      </c>
      <c r="M29">
        <f t="shared" ref="M29:M53" si="4">100*ABS((L29-F29)/F29)</f>
        <v>6.9482881315727054</v>
      </c>
    </row>
    <row r="30" spans="1:13" x14ac:dyDescent="0.4">
      <c r="A30" t="s">
        <v>6</v>
      </c>
      <c r="B30" t="s">
        <v>7</v>
      </c>
      <c r="C30">
        <v>6.2E-2</v>
      </c>
      <c r="D30">
        <v>0.38400000000000001</v>
      </c>
      <c r="E30">
        <v>333.13440000000003</v>
      </c>
      <c r="F30">
        <v>131600</v>
      </c>
      <c r="G30" t="s">
        <v>4</v>
      </c>
      <c r="H30">
        <v>0.43975999999999998</v>
      </c>
      <c r="I30">
        <f t="shared" si="3"/>
        <v>14.520833333333327</v>
      </c>
      <c r="L30">
        <v>143366.9</v>
      </c>
      <c r="M30">
        <f t="shared" si="4"/>
        <v>8.9414133738601791</v>
      </c>
    </row>
    <row r="31" spans="1:13" x14ac:dyDescent="0.4">
      <c r="A31" t="s">
        <v>6</v>
      </c>
      <c r="B31" t="s">
        <v>7</v>
      </c>
      <c r="C31">
        <v>8.1000000000000003E-2</v>
      </c>
      <c r="D31">
        <v>0.42599999999999999</v>
      </c>
      <c r="E31">
        <v>333.13440000000003</v>
      </c>
      <c r="F31">
        <v>138500</v>
      </c>
      <c r="G31" t="s">
        <v>4</v>
      </c>
      <c r="H31">
        <v>0.47941040000000001</v>
      </c>
      <c r="I31">
        <f t="shared" si="3"/>
        <v>12.53765258215963</v>
      </c>
      <c r="L31">
        <v>152550.6</v>
      </c>
      <c r="M31">
        <f t="shared" si="4"/>
        <v>10.144837545126357</v>
      </c>
    </row>
    <row r="32" spans="1:13" x14ac:dyDescent="0.4">
      <c r="A32" t="s">
        <v>6</v>
      </c>
      <c r="B32" t="s">
        <v>7</v>
      </c>
      <c r="C32">
        <v>9.8000000000000004E-2</v>
      </c>
      <c r="D32">
        <v>0.439</v>
      </c>
      <c r="E32">
        <v>333.13440000000003</v>
      </c>
      <c r="F32">
        <v>141760</v>
      </c>
      <c r="G32" t="s">
        <v>4</v>
      </c>
      <c r="H32">
        <v>0.4818462</v>
      </c>
      <c r="I32">
        <f t="shared" si="3"/>
        <v>9.7599544419134396</v>
      </c>
      <c r="L32">
        <v>153145.5</v>
      </c>
      <c r="M32">
        <f t="shared" si="4"/>
        <v>8.0315321670428883</v>
      </c>
    </row>
    <row r="33" spans="1:13" x14ac:dyDescent="0.4">
      <c r="A33" t="s">
        <v>6</v>
      </c>
      <c r="B33" t="s">
        <v>7</v>
      </c>
      <c r="C33">
        <v>0.11700000000000001</v>
      </c>
      <c r="D33">
        <v>0.45700000000000002</v>
      </c>
      <c r="E33">
        <v>333.13440000000003</v>
      </c>
      <c r="F33">
        <v>144240</v>
      </c>
      <c r="G33" t="s">
        <v>4</v>
      </c>
      <c r="H33">
        <v>0.4818462</v>
      </c>
      <c r="I33">
        <f t="shared" si="3"/>
        <v>5.4368052516411343</v>
      </c>
      <c r="L33">
        <v>153145.5</v>
      </c>
      <c r="M33">
        <f t="shared" si="4"/>
        <v>6.174084858569052</v>
      </c>
    </row>
    <row r="34" spans="1:13" x14ac:dyDescent="0.4">
      <c r="A34" t="s">
        <v>6</v>
      </c>
      <c r="B34" t="s">
        <v>7</v>
      </c>
      <c r="C34">
        <v>0.123</v>
      </c>
      <c r="D34">
        <v>0.46</v>
      </c>
      <c r="E34">
        <v>333.13440000000003</v>
      </c>
      <c r="F34">
        <v>145030</v>
      </c>
      <c r="G34" t="s">
        <v>4</v>
      </c>
      <c r="H34">
        <v>0.4818462</v>
      </c>
      <c r="I34">
        <f t="shared" si="3"/>
        <v>4.7491739130434745</v>
      </c>
      <c r="L34">
        <v>153145.5</v>
      </c>
      <c r="M34">
        <f t="shared" si="4"/>
        <v>5.5957388126594498</v>
      </c>
    </row>
    <row r="35" spans="1:13" x14ac:dyDescent="0.4">
      <c r="A35" t="s">
        <v>6</v>
      </c>
      <c r="B35" t="s">
        <v>7</v>
      </c>
      <c r="C35">
        <v>0.17199999999999999</v>
      </c>
      <c r="D35">
        <v>0.46700000000000003</v>
      </c>
      <c r="E35">
        <v>333.13440000000003</v>
      </c>
      <c r="F35">
        <v>147760</v>
      </c>
      <c r="G35" t="s">
        <v>4</v>
      </c>
      <c r="H35">
        <v>0.4818462</v>
      </c>
      <c r="I35">
        <f t="shared" si="3"/>
        <v>3.1790578158458191</v>
      </c>
      <c r="L35">
        <v>153145.5</v>
      </c>
      <c r="M35">
        <f t="shared" si="4"/>
        <v>3.644761775852734</v>
      </c>
    </row>
    <row r="36" spans="1:13" x14ac:dyDescent="0.4">
      <c r="A36" t="s">
        <v>6</v>
      </c>
      <c r="B36" t="s">
        <v>7</v>
      </c>
      <c r="C36">
        <v>0.21</v>
      </c>
      <c r="D36">
        <v>0.47599999999999998</v>
      </c>
      <c r="E36">
        <v>333.13440000000003</v>
      </c>
      <c r="F36">
        <v>148960</v>
      </c>
      <c r="G36" t="s">
        <v>4</v>
      </c>
      <c r="H36">
        <v>0.4818462</v>
      </c>
      <c r="I36">
        <f t="shared" si="3"/>
        <v>1.2281932773109294</v>
      </c>
      <c r="L36">
        <v>153145.5</v>
      </c>
      <c r="M36">
        <f t="shared" si="4"/>
        <v>2.8098147153598281</v>
      </c>
    </row>
    <row r="37" spans="1:13" x14ac:dyDescent="0.4">
      <c r="A37" t="s">
        <v>6</v>
      </c>
      <c r="B37" t="s">
        <v>7</v>
      </c>
      <c r="C37">
        <v>0.26700000000000002</v>
      </c>
      <c r="D37">
        <v>0.47699999999999998</v>
      </c>
      <c r="E37">
        <v>333.13440000000003</v>
      </c>
      <c r="F37">
        <v>149250</v>
      </c>
      <c r="G37" t="s">
        <v>4</v>
      </c>
      <c r="H37">
        <v>0.4818462</v>
      </c>
      <c r="I37">
        <f t="shared" si="3"/>
        <v>1.0159748427673003</v>
      </c>
      <c r="L37">
        <v>153145.5</v>
      </c>
      <c r="M37">
        <f t="shared" si="4"/>
        <v>2.6100502512562813</v>
      </c>
    </row>
    <row r="38" spans="1:13" x14ac:dyDescent="0.4">
      <c r="A38" t="s">
        <v>6</v>
      </c>
      <c r="B38" t="s">
        <v>7</v>
      </c>
      <c r="C38">
        <v>0.34300000000000003</v>
      </c>
      <c r="D38">
        <v>0.47799999999999998</v>
      </c>
      <c r="E38">
        <v>333.13440000000003</v>
      </c>
      <c r="F38">
        <v>149310</v>
      </c>
      <c r="G38" t="s">
        <v>4</v>
      </c>
      <c r="H38">
        <v>0.4818462</v>
      </c>
      <c r="I38">
        <f t="shared" si="3"/>
        <v>0.80464435146443969</v>
      </c>
      <c r="L38">
        <v>153145.5</v>
      </c>
      <c r="M38">
        <f t="shared" si="4"/>
        <v>2.5688165561583283</v>
      </c>
    </row>
    <row r="39" spans="1:13" x14ac:dyDescent="0.4">
      <c r="A39" t="s">
        <v>6</v>
      </c>
      <c r="B39" t="s">
        <v>7</v>
      </c>
      <c r="C39">
        <v>0.38700000000000001</v>
      </c>
      <c r="D39">
        <v>0.47899999999999998</v>
      </c>
      <c r="E39">
        <v>333.13440000000003</v>
      </c>
      <c r="F39">
        <v>149390</v>
      </c>
      <c r="G39" t="s">
        <v>4</v>
      </c>
      <c r="H39">
        <v>0.4818462</v>
      </c>
      <c r="I39">
        <f t="shared" si="3"/>
        <v>0.59419624217119438</v>
      </c>
      <c r="L39">
        <v>153145.5</v>
      </c>
      <c r="M39">
        <f t="shared" si="4"/>
        <v>2.5138898185956222</v>
      </c>
    </row>
    <row r="40" spans="1:13" x14ac:dyDescent="0.4">
      <c r="A40" t="s">
        <v>6</v>
      </c>
      <c r="B40" t="s">
        <v>7</v>
      </c>
      <c r="C40">
        <v>0.43</v>
      </c>
      <c r="D40">
        <v>0.48</v>
      </c>
      <c r="E40">
        <v>333.13440000000003</v>
      </c>
      <c r="F40">
        <v>149490</v>
      </c>
      <c r="G40" t="s">
        <v>4</v>
      </c>
      <c r="H40">
        <v>0.4818462</v>
      </c>
      <c r="I40">
        <f t="shared" si="3"/>
        <v>0.38462500000000421</v>
      </c>
      <c r="L40">
        <v>153145.5</v>
      </c>
      <c r="M40">
        <f t="shared" si="4"/>
        <v>2.4453140678306244</v>
      </c>
    </row>
    <row r="41" spans="1:13" x14ac:dyDescent="0.4">
      <c r="A41" t="s">
        <v>6</v>
      </c>
      <c r="B41" t="s">
        <v>7</v>
      </c>
      <c r="C41">
        <v>0.47799999999999998</v>
      </c>
      <c r="D41">
        <v>0.48299999999999998</v>
      </c>
      <c r="E41">
        <v>333.13440000000003</v>
      </c>
      <c r="F41">
        <v>149640</v>
      </c>
      <c r="G41" t="s">
        <v>4</v>
      </c>
      <c r="H41">
        <v>0.4818462</v>
      </c>
      <c r="I41">
        <f t="shared" si="3"/>
        <v>0.23888198757763615</v>
      </c>
      <c r="L41">
        <v>153145.5</v>
      </c>
      <c r="M41">
        <f t="shared" si="4"/>
        <v>2.3426222935044105</v>
      </c>
    </row>
    <row r="42" spans="1:13" x14ac:dyDescent="0.4">
      <c r="A42" t="s">
        <v>6</v>
      </c>
      <c r="B42" t="s">
        <v>7</v>
      </c>
      <c r="C42">
        <v>0.52100000000000002</v>
      </c>
      <c r="D42">
        <v>0.48399999999999999</v>
      </c>
      <c r="E42">
        <v>333.13440000000003</v>
      </c>
      <c r="F42">
        <v>149560</v>
      </c>
      <c r="G42" t="s">
        <v>4</v>
      </c>
      <c r="H42">
        <v>0.4818462</v>
      </c>
      <c r="I42">
        <f t="shared" si="3"/>
        <v>0.44499999999999662</v>
      </c>
      <c r="L42">
        <v>153145.5</v>
      </c>
      <c r="M42">
        <f t="shared" si="4"/>
        <v>2.3973656057769457</v>
      </c>
    </row>
    <row r="43" spans="1:13" x14ac:dyDescent="0.4">
      <c r="A43" t="s">
        <v>6</v>
      </c>
      <c r="B43" t="s">
        <v>7</v>
      </c>
      <c r="C43">
        <v>0.60099999999999998</v>
      </c>
      <c r="D43">
        <v>0.48799999999999999</v>
      </c>
      <c r="E43">
        <v>333.13440000000003</v>
      </c>
      <c r="F43">
        <v>149350</v>
      </c>
      <c r="G43" t="s">
        <v>4</v>
      </c>
      <c r="H43">
        <v>0.4818462</v>
      </c>
      <c r="I43">
        <f t="shared" si="3"/>
        <v>1.2610245901639319</v>
      </c>
      <c r="L43">
        <v>153145.5</v>
      </c>
      <c r="M43">
        <f t="shared" si="4"/>
        <v>2.5413458319383997</v>
      </c>
    </row>
    <row r="44" spans="1:13" x14ac:dyDescent="0.4">
      <c r="A44" t="s">
        <v>6</v>
      </c>
      <c r="B44" t="s">
        <v>7</v>
      </c>
      <c r="C44">
        <v>0.78200000000000003</v>
      </c>
      <c r="D44">
        <v>0.501</v>
      </c>
      <c r="E44">
        <v>333.13440000000003</v>
      </c>
      <c r="F44">
        <v>148990</v>
      </c>
      <c r="G44" t="s">
        <v>4</v>
      </c>
      <c r="H44">
        <v>0.4818462</v>
      </c>
      <c r="I44">
        <f t="shared" si="3"/>
        <v>3.8231137724550899</v>
      </c>
      <c r="L44">
        <v>153145.5</v>
      </c>
      <c r="M44">
        <f t="shared" si="4"/>
        <v>2.7891133633129743</v>
      </c>
    </row>
    <row r="45" spans="1:13" x14ac:dyDescent="0.4">
      <c r="A45" t="s">
        <v>6</v>
      </c>
      <c r="B45" t="s">
        <v>7</v>
      </c>
      <c r="C45">
        <v>0.82499999999999996</v>
      </c>
      <c r="D45">
        <v>0.504</v>
      </c>
      <c r="E45">
        <v>333.13440000000003</v>
      </c>
      <c r="F45">
        <v>148310</v>
      </c>
      <c r="G45" t="s">
        <v>4</v>
      </c>
      <c r="H45">
        <v>0.4818462</v>
      </c>
      <c r="I45">
        <f t="shared" si="3"/>
        <v>4.3955952380952379</v>
      </c>
      <c r="L45">
        <v>153145.5</v>
      </c>
      <c r="M45">
        <f t="shared" si="4"/>
        <v>3.2604005124401594</v>
      </c>
    </row>
    <row r="46" spans="1:13" x14ac:dyDescent="0.4">
      <c r="A46" t="s">
        <v>6</v>
      </c>
      <c r="B46" t="s">
        <v>7</v>
      </c>
      <c r="C46">
        <v>0.85499999999999998</v>
      </c>
      <c r="D46">
        <v>0.51200000000000001</v>
      </c>
      <c r="E46">
        <v>333.13440000000003</v>
      </c>
      <c r="F46">
        <v>147150</v>
      </c>
      <c r="G46" t="s">
        <v>4</v>
      </c>
      <c r="H46">
        <v>0.4818462</v>
      </c>
      <c r="I46">
        <f t="shared" si="3"/>
        <v>5.8894140625000011</v>
      </c>
      <c r="L46">
        <v>153145.5</v>
      </c>
      <c r="M46">
        <f t="shared" si="4"/>
        <v>4.0744138634046889</v>
      </c>
    </row>
    <row r="47" spans="1:13" x14ac:dyDescent="0.4">
      <c r="A47" t="s">
        <v>6</v>
      </c>
      <c r="B47" t="s">
        <v>7</v>
      </c>
      <c r="C47">
        <v>0.90200000000000002</v>
      </c>
      <c r="D47">
        <v>0.51800000000000002</v>
      </c>
      <c r="E47">
        <v>333.13440000000003</v>
      </c>
      <c r="F47">
        <v>145110</v>
      </c>
      <c r="G47" t="s">
        <v>4</v>
      </c>
      <c r="H47">
        <v>0.4818462</v>
      </c>
      <c r="I47">
        <f t="shared" si="3"/>
        <v>6.9794980694980717</v>
      </c>
      <c r="L47">
        <v>153145.5</v>
      </c>
      <c r="M47">
        <f t="shared" si="4"/>
        <v>5.5375232582179041</v>
      </c>
    </row>
    <row r="48" spans="1:13" x14ac:dyDescent="0.4">
      <c r="A48" t="s">
        <v>6</v>
      </c>
      <c r="B48" t="s">
        <v>7</v>
      </c>
      <c r="C48">
        <v>0.92100000000000004</v>
      </c>
      <c r="D48">
        <v>0.52800000000000002</v>
      </c>
      <c r="E48">
        <v>333.13440000000003</v>
      </c>
      <c r="F48">
        <v>143470</v>
      </c>
      <c r="G48" t="s">
        <v>4</v>
      </c>
      <c r="H48">
        <v>0.4818462</v>
      </c>
      <c r="I48">
        <f t="shared" si="3"/>
        <v>8.7412500000000026</v>
      </c>
      <c r="L48">
        <v>153145.5</v>
      </c>
      <c r="M48">
        <f t="shared" si="4"/>
        <v>6.7439185892521083</v>
      </c>
    </row>
    <row r="49" spans="1:13" x14ac:dyDescent="0.4">
      <c r="A49" t="s">
        <v>6</v>
      </c>
      <c r="B49" t="s">
        <v>7</v>
      </c>
      <c r="C49">
        <v>0.94</v>
      </c>
      <c r="D49">
        <v>0.53700000000000003</v>
      </c>
      <c r="E49">
        <v>333.13440000000003</v>
      </c>
      <c r="F49">
        <v>141870</v>
      </c>
      <c r="G49" t="s">
        <v>4</v>
      </c>
      <c r="H49">
        <v>0.4818462</v>
      </c>
      <c r="I49">
        <f t="shared" si="3"/>
        <v>10.270726256983245</v>
      </c>
      <c r="L49">
        <v>153145.5</v>
      </c>
      <c r="M49">
        <f t="shared" si="4"/>
        <v>7.9477690843730171</v>
      </c>
    </row>
    <row r="50" spans="1:13" x14ac:dyDescent="0.4">
      <c r="A50" t="s">
        <v>6</v>
      </c>
      <c r="B50" t="s">
        <v>7</v>
      </c>
      <c r="C50">
        <v>0.96699999999999997</v>
      </c>
      <c r="D50">
        <v>0.56200000000000006</v>
      </c>
      <c r="E50">
        <v>333.13440000000003</v>
      </c>
      <c r="F50">
        <v>138000</v>
      </c>
      <c r="G50" t="s">
        <v>4</v>
      </c>
      <c r="H50">
        <v>0.53384819999999999</v>
      </c>
      <c r="I50">
        <f t="shared" si="3"/>
        <v>5.0092170818505446</v>
      </c>
      <c r="L50">
        <v>139349.20000000001</v>
      </c>
      <c r="M50">
        <f t="shared" si="4"/>
        <v>0.97768115942029832</v>
      </c>
    </row>
    <row r="51" spans="1:13" x14ac:dyDescent="0.4">
      <c r="A51" t="s">
        <v>6</v>
      </c>
      <c r="B51" t="s">
        <v>7</v>
      </c>
      <c r="C51">
        <v>0.98399999999999999</v>
      </c>
      <c r="D51">
        <v>0.59299999999999997</v>
      </c>
      <c r="E51">
        <v>333.13440000000003</v>
      </c>
      <c r="F51">
        <v>130870</v>
      </c>
      <c r="G51" t="s">
        <v>4</v>
      </c>
      <c r="H51">
        <v>0.6674715</v>
      </c>
      <c r="I51">
        <f t="shared" si="3"/>
        <v>12.55843170320405</v>
      </c>
      <c r="L51">
        <v>112913.5</v>
      </c>
      <c r="M51">
        <f t="shared" si="4"/>
        <v>13.720868036983266</v>
      </c>
    </row>
    <row r="52" spans="1:13" x14ac:dyDescent="0.4">
      <c r="A52" t="s">
        <v>6</v>
      </c>
      <c r="B52" t="s">
        <v>7</v>
      </c>
      <c r="C52">
        <v>0.995</v>
      </c>
      <c r="D52">
        <v>0.71499999999999997</v>
      </c>
      <c r="E52">
        <v>333.13440000000003</v>
      </c>
      <c r="F52">
        <v>107480</v>
      </c>
      <c r="G52" t="s">
        <v>4</v>
      </c>
      <c r="H52">
        <v>0.8519641</v>
      </c>
      <c r="I52">
        <f t="shared" si="3"/>
        <v>19.155818181818187</v>
      </c>
      <c r="L52">
        <v>89337.8</v>
      </c>
      <c r="M52">
        <f t="shared" si="4"/>
        <v>16.879605508001486</v>
      </c>
    </row>
    <row r="53" spans="1:13" x14ac:dyDescent="0.4">
      <c r="A53" t="s">
        <v>6</v>
      </c>
      <c r="B53" t="s">
        <v>7</v>
      </c>
      <c r="C53">
        <v>1</v>
      </c>
      <c r="D53">
        <v>1</v>
      </c>
      <c r="E53">
        <v>333.13440000000003</v>
      </c>
      <c r="F53">
        <v>76050</v>
      </c>
      <c r="G53" t="s">
        <v>4</v>
      </c>
      <c r="H53">
        <v>1</v>
      </c>
      <c r="L53">
        <v>76484.350000000006</v>
      </c>
      <c r="M53">
        <f t="shared" si="4"/>
        <v>0.57113740959895576</v>
      </c>
    </row>
    <row r="54" spans="1:13" x14ac:dyDescent="0.4">
      <c r="A54" t="s">
        <v>6</v>
      </c>
      <c r="B54" t="s">
        <v>30</v>
      </c>
      <c r="C54">
        <v>0</v>
      </c>
      <c r="D54">
        <v>0</v>
      </c>
      <c r="E54">
        <v>443.8</v>
      </c>
      <c r="F54">
        <v>101330</v>
      </c>
      <c r="G54" t="s">
        <v>5</v>
      </c>
      <c r="H54">
        <v>0</v>
      </c>
      <c r="J54">
        <v>443.74259999999998</v>
      </c>
      <c r="K54">
        <f t="shared" ref="K54:K109" si="5">100*ABS((J54-E54)/E54)</f>
        <v>1.2933753943224347E-2</v>
      </c>
    </row>
    <row r="55" spans="1:13" x14ac:dyDescent="0.4">
      <c r="A55" t="s">
        <v>6</v>
      </c>
      <c r="B55" t="s">
        <v>11</v>
      </c>
      <c r="C55">
        <v>1.52E-2</v>
      </c>
      <c r="D55">
        <v>0.13170000000000001</v>
      </c>
      <c r="E55">
        <v>438.51</v>
      </c>
      <c r="F55">
        <v>101330</v>
      </c>
      <c r="G55" t="s">
        <v>5</v>
      </c>
      <c r="H55">
        <v>0.1243148</v>
      </c>
      <c r="I55">
        <f t="shared" si="3"/>
        <v>5.6075930144267332</v>
      </c>
      <c r="J55">
        <v>439.21069999999997</v>
      </c>
      <c r="K55">
        <f t="shared" si="5"/>
        <v>0.15979111080704739</v>
      </c>
    </row>
    <row r="56" spans="1:13" x14ac:dyDescent="0.4">
      <c r="A56" t="s">
        <v>6</v>
      </c>
      <c r="B56" t="s">
        <v>11</v>
      </c>
      <c r="C56">
        <v>4.1700000000000001E-2</v>
      </c>
      <c r="D56">
        <v>0.33460000000000001</v>
      </c>
      <c r="E56">
        <v>429.68</v>
      </c>
      <c r="F56">
        <v>101330</v>
      </c>
      <c r="G56" t="s">
        <v>5</v>
      </c>
      <c r="H56">
        <v>0.30160389999999998</v>
      </c>
      <c r="I56">
        <f t="shared" si="3"/>
        <v>9.8613568439928354</v>
      </c>
      <c r="J56">
        <v>431.78710000000001</v>
      </c>
      <c r="K56">
        <f t="shared" si="5"/>
        <v>0.49038819586669208</v>
      </c>
    </row>
    <row r="57" spans="1:13" x14ac:dyDescent="0.4">
      <c r="A57" t="s">
        <v>6</v>
      </c>
      <c r="B57" t="s">
        <v>11</v>
      </c>
      <c r="C57">
        <v>6.4399999999999999E-2</v>
      </c>
      <c r="D57">
        <v>0.46029999999999999</v>
      </c>
      <c r="E57">
        <v>423.04</v>
      </c>
      <c r="F57">
        <v>101330</v>
      </c>
      <c r="G57" t="s">
        <v>5</v>
      </c>
      <c r="H57">
        <v>0.4213247</v>
      </c>
      <c r="I57">
        <f t="shared" si="3"/>
        <v>8.4673691071040622</v>
      </c>
      <c r="J57">
        <v>425.89359999999999</v>
      </c>
      <c r="K57">
        <f t="shared" si="5"/>
        <v>0.67454614220876785</v>
      </c>
    </row>
    <row r="58" spans="1:13" x14ac:dyDescent="0.4">
      <c r="A58" t="s">
        <v>6</v>
      </c>
      <c r="B58" t="s">
        <v>24</v>
      </c>
      <c r="C58">
        <v>8.3000000000000004E-2</v>
      </c>
      <c r="D58">
        <v>0.54020000000000001</v>
      </c>
      <c r="E58">
        <v>418.14</v>
      </c>
      <c r="F58">
        <v>101330</v>
      </c>
      <c r="G58" t="s">
        <v>5</v>
      </c>
      <c r="H58">
        <v>0.5018707</v>
      </c>
      <c r="I58">
        <f t="shared" si="3"/>
        <v>7.0953905960755295</v>
      </c>
      <c r="J58">
        <v>421.37029999999999</v>
      </c>
      <c r="K58">
        <f t="shared" si="5"/>
        <v>0.77254029750801168</v>
      </c>
    </row>
    <row r="59" spans="1:13" x14ac:dyDescent="0.4">
      <c r="A59" t="s">
        <v>6</v>
      </c>
      <c r="B59" t="s">
        <v>11</v>
      </c>
      <c r="C59">
        <v>0.1091</v>
      </c>
      <c r="D59">
        <v>0.62780000000000002</v>
      </c>
      <c r="E59">
        <v>411.95</v>
      </c>
      <c r="F59">
        <v>101330</v>
      </c>
      <c r="G59" t="s">
        <v>5</v>
      </c>
      <c r="H59">
        <v>0.59368299999999996</v>
      </c>
      <c r="I59">
        <f t="shared" si="3"/>
        <v>5.4343740044600288</v>
      </c>
      <c r="J59">
        <v>415.46260000000001</v>
      </c>
      <c r="K59">
        <f t="shared" si="5"/>
        <v>0.8526762956669548</v>
      </c>
    </row>
    <row r="60" spans="1:13" x14ac:dyDescent="0.4">
      <c r="A60" t="s">
        <v>6</v>
      </c>
      <c r="B60" t="s">
        <v>11</v>
      </c>
      <c r="C60">
        <v>0.14760000000000001</v>
      </c>
      <c r="D60">
        <v>0.72030000000000005</v>
      </c>
      <c r="E60">
        <v>404.04</v>
      </c>
      <c r="F60">
        <v>101330</v>
      </c>
      <c r="G60" t="s">
        <v>5</v>
      </c>
      <c r="H60">
        <v>0.69486289999999995</v>
      </c>
      <c r="I60">
        <f t="shared" si="3"/>
        <v>3.5314591142579621</v>
      </c>
      <c r="J60">
        <v>407.61279999999999</v>
      </c>
      <c r="K60">
        <f t="shared" si="5"/>
        <v>0.8842688842688774</v>
      </c>
    </row>
    <row r="61" spans="1:13" x14ac:dyDescent="0.4">
      <c r="A61" t="s">
        <v>6</v>
      </c>
      <c r="B61" t="s">
        <v>11</v>
      </c>
      <c r="C61">
        <v>0.17949999999999999</v>
      </c>
      <c r="D61">
        <v>0.77510000000000001</v>
      </c>
      <c r="E61">
        <v>398.37</v>
      </c>
      <c r="F61">
        <v>101330</v>
      </c>
      <c r="G61" t="s">
        <v>5</v>
      </c>
      <c r="H61">
        <v>0.75631110000000001</v>
      </c>
      <c r="I61">
        <f t="shared" si="3"/>
        <v>2.4240614114307828</v>
      </c>
      <c r="J61">
        <v>401.81020000000001</v>
      </c>
      <c r="K61">
        <f t="shared" si="5"/>
        <v>0.86356904385370503</v>
      </c>
    </row>
    <row r="62" spans="1:13" x14ac:dyDescent="0.4">
      <c r="A62" t="s">
        <v>6</v>
      </c>
      <c r="B62" t="s">
        <v>11</v>
      </c>
      <c r="C62">
        <v>0.21729999999999999</v>
      </c>
      <c r="D62">
        <v>0.82299999999999995</v>
      </c>
      <c r="E62">
        <v>392.5</v>
      </c>
      <c r="F62">
        <v>101330</v>
      </c>
      <c r="G62" t="s">
        <v>5</v>
      </c>
      <c r="H62">
        <v>0.81075949999999997</v>
      </c>
      <c r="I62">
        <f t="shared" si="3"/>
        <v>1.4873025516403389</v>
      </c>
      <c r="J62">
        <v>395.65469999999999</v>
      </c>
      <c r="K62">
        <f t="shared" si="5"/>
        <v>0.803745222929934</v>
      </c>
    </row>
    <row r="63" spans="1:13" x14ac:dyDescent="0.4">
      <c r="A63" t="s">
        <v>6</v>
      </c>
      <c r="B63" t="s">
        <v>11</v>
      </c>
      <c r="C63">
        <v>0.2676</v>
      </c>
      <c r="D63">
        <v>0.86819999999999997</v>
      </c>
      <c r="E63">
        <v>385.81</v>
      </c>
      <c r="F63">
        <v>101330</v>
      </c>
      <c r="G63" t="s">
        <v>5</v>
      </c>
      <c r="H63">
        <v>0.86204570000000003</v>
      </c>
      <c r="I63">
        <f t="shared" si="3"/>
        <v>0.70885740612761416</v>
      </c>
      <c r="J63">
        <v>388.49900000000002</v>
      </c>
      <c r="K63">
        <f t="shared" si="5"/>
        <v>0.69697519504419825</v>
      </c>
    </row>
    <row r="64" spans="1:13" x14ac:dyDescent="0.4">
      <c r="A64" t="s">
        <v>6</v>
      </c>
      <c r="B64" t="s">
        <v>11</v>
      </c>
      <c r="C64">
        <v>0.30459999999999998</v>
      </c>
      <c r="D64">
        <v>0.89219999999999999</v>
      </c>
      <c r="E64">
        <v>381.58</v>
      </c>
      <c r="F64">
        <v>101330</v>
      </c>
      <c r="G64" t="s">
        <v>5</v>
      </c>
      <c r="H64">
        <v>0.88925650000000001</v>
      </c>
      <c r="I64">
        <f t="shared" si="3"/>
        <v>0.32991481730553551</v>
      </c>
      <c r="J64">
        <v>383.8725</v>
      </c>
      <c r="K64">
        <f t="shared" si="5"/>
        <v>0.60079144609256729</v>
      </c>
    </row>
    <row r="65" spans="1:11" x14ac:dyDescent="0.4">
      <c r="A65" t="s">
        <v>6</v>
      </c>
      <c r="B65" t="s">
        <v>11</v>
      </c>
      <c r="C65">
        <v>0.36099999999999999</v>
      </c>
      <c r="D65">
        <v>0.91920000000000002</v>
      </c>
      <c r="E65">
        <v>375.97</v>
      </c>
      <c r="F65">
        <v>101330</v>
      </c>
      <c r="G65" t="s">
        <v>5</v>
      </c>
      <c r="H65">
        <v>0.91941660000000003</v>
      </c>
      <c r="I65">
        <f t="shared" si="3"/>
        <v>2.3563968668408531E-2</v>
      </c>
      <c r="J65">
        <v>377.67559999999997</v>
      </c>
      <c r="K65">
        <f t="shared" si="5"/>
        <v>0.45365321701198152</v>
      </c>
    </row>
    <row r="66" spans="1:11" x14ac:dyDescent="0.4">
      <c r="A66" t="s">
        <v>6</v>
      </c>
      <c r="B66" t="s">
        <v>11</v>
      </c>
      <c r="C66">
        <v>0.4133</v>
      </c>
      <c r="D66">
        <v>0.93720000000000003</v>
      </c>
      <c r="E66">
        <v>371.53</v>
      </c>
      <c r="F66">
        <v>101330</v>
      </c>
      <c r="G66" t="s">
        <v>5</v>
      </c>
      <c r="H66">
        <v>0.93913480000000005</v>
      </c>
      <c r="I66">
        <f t="shared" si="3"/>
        <v>0.20644472897994176</v>
      </c>
      <c r="J66">
        <v>372.69103999999999</v>
      </c>
      <c r="K66">
        <f t="shared" si="5"/>
        <v>0.31250235512610403</v>
      </c>
    </row>
    <row r="67" spans="1:11" x14ac:dyDescent="0.4">
      <c r="A67" t="s">
        <v>6</v>
      </c>
      <c r="B67" t="s">
        <v>11</v>
      </c>
      <c r="C67">
        <v>0.45529999999999998</v>
      </c>
      <c r="D67">
        <v>0.94820000000000004</v>
      </c>
      <c r="E67">
        <v>368.39</v>
      </c>
      <c r="F67">
        <v>101330</v>
      </c>
      <c r="G67" t="s">
        <v>5</v>
      </c>
      <c r="H67">
        <v>0.95107390000000003</v>
      </c>
      <c r="I67">
        <f t="shared" si="3"/>
        <v>0.30309006538704752</v>
      </c>
      <c r="J67">
        <v>369.12542000000002</v>
      </c>
      <c r="K67">
        <f t="shared" si="5"/>
        <v>0.19963082602677415</v>
      </c>
    </row>
    <row r="68" spans="1:11" x14ac:dyDescent="0.4">
      <c r="A68" t="s">
        <v>6</v>
      </c>
      <c r="B68" t="s">
        <v>11</v>
      </c>
      <c r="C68">
        <v>0.50470000000000004</v>
      </c>
      <c r="D68">
        <v>0.95840000000000003</v>
      </c>
      <c r="E68">
        <v>365.1</v>
      </c>
      <c r="F68">
        <v>101330</v>
      </c>
      <c r="G68" t="s">
        <v>5</v>
      </c>
      <c r="H68">
        <v>0.96196839999999995</v>
      </c>
      <c r="I68">
        <f t="shared" si="3"/>
        <v>0.37232888146910642</v>
      </c>
      <c r="J68">
        <v>365.34985999999998</v>
      </c>
      <c r="K68">
        <f t="shared" si="5"/>
        <v>6.8436044919188047E-2</v>
      </c>
    </row>
    <row r="69" spans="1:11" x14ac:dyDescent="0.4">
      <c r="A69" t="s">
        <v>6</v>
      </c>
      <c r="B69" t="s">
        <v>11</v>
      </c>
      <c r="C69">
        <v>0.53559999999999997</v>
      </c>
      <c r="D69">
        <v>0.9637</v>
      </c>
      <c r="E69">
        <v>363.22</v>
      </c>
      <c r="F69">
        <v>101330</v>
      </c>
      <c r="G69" t="s">
        <v>5</v>
      </c>
      <c r="H69">
        <v>0.96747190000000005</v>
      </c>
      <c r="I69">
        <f t="shared" si="3"/>
        <v>0.39139773788523918</v>
      </c>
      <c r="J69">
        <v>363.18745000000001</v>
      </c>
      <c r="K69">
        <f t="shared" si="5"/>
        <v>8.9615109300189219E-3</v>
      </c>
    </row>
    <row r="70" spans="1:11" x14ac:dyDescent="0.4">
      <c r="A70" t="s">
        <v>6</v>
      </c>
      <c r="B70" t="s">
        <v>11</v>
      </c>
      <c r="C70">
        <v>0.59189999999999998</v>
      </c>
      <c r="D70">
        <v>0.97150000000000003</v>
      </c>
      <c r="E70">
        <v>359.91</v>
      </c>
      <c r="F70">
        <v>101330</v>
      </c>
      <c r="G70" t="s">
        <v>5</v>
      </c>
      <c r="H70">
        <v>0.9755585</v>
      </c>
      <c r="I70">
        <f t="shared" si="3"/>
        <v>0.41775604734945598</v>
      </c>
      <c r="J70">
        <v>359.58625999999998</v>
      </c>
      <c r="K70">
        <f t="shared" si="5"/>
        <v>8.9950265344125868E-2</v>
      </c>
    </row>
    <row r="71" spans="1:11" x14ac:dyDescent="0.4">
      <c r="A71" t="s">
        <v>6</v>
      </c>
      <c r="B71" t="s">
        <v>11</v>
      </c>
      <c r="C71">
        <v>0.67</v>
      </c>
      <c r="D71">
        <v>0.97960000000000003</v>
      </c>
      <c r="E71">
        <v>355.62</v>
      </c>
      <c r="F71">
        <v>101330</v>
      </c>
      <c r="G71" t="s">
        <v>5</v>
      </c>
      <c r="H71">
        <v>0.98377130000000002</v>
      </c>
      <c r="I71">
        <f t="shared" si="3"/>
        <v>0.42581665986116668</v>
      </c>
      <c r="J71">
        <v>355.20085</v>
      </c>
      <c r="K71">
        <f t="shared" si="5"/>
        <v>0.1178645745458641</v>
      </c>
    </row>
    <row r="72" spans="1:11" x14ac:dyDescent="0.4">
      <c r="A72" t="s">
        <v>6</v>
      </c>
      <c r="B72" t="s">
        <v>11</v>
      </c>
      <c r="C72">
        <v>0.76280000000000003</v>
      </c>
      <c r="D72">
        <v>0.98640000000000005</v>
      </c>
      <c r="E72">
        <v>351.39</v>
      </c>
      <c r="F72">
        <v>101330</v>
      </c>
      <c r="G72" t="s">
        <v>5</v>
      </c>
      <c r="H72">
        <v>0.99053360000000001</v>
      </c>
      <c r="I72">
        <f t="shared" si="3"/>
        <v>0.41905920519058787</v>
      </c>
      <c r="J72">
        <v>350.72942999999998</v>
      </c>
      <c r="K72">
        <f t="shared" si="5"/>
        <v>0.18798770596773015</v>
      </c>
    </row>
    <row r="73" spans="1:11" x14ac:dyDescent="0.4">
      <c r="A73" t="s">
        <v>6</v>
      </c>
      <c r="B73" t="s">
        <v>11</v>
      </c>
      <c r="C73">
        <v>0.82499999999999996</v>
      </c>
      <c r="D73">
        <v>0.9899</v>
      </c>
      <c r="E73">
        <v>348.52</v>
      </c>
      <c r="F73">
        <v>101330</v>
      </c>
      <c r="G73" t="s">
        <v>5</v>
      </c>
      <c r="H73">
        <v>0.99384939999999999</v>
      </c>
      <c r="I73">
        <f t="shared" si="3"/>
        <v>0.39896959288816969</v>
      </c>
      <c r="J73">
        <v>348.09595000000002</v>
      </c>
      <c r="K73">
        <f t="shared" si="5"/>
        <v>0.12167164007803445</v>
      </c>
    </row>
    <row r="74" spans="1:11" x14ac:dyDescent="0.4">
      <c r="A74" t="s">
        <v>6</v>
      </c>
      <c r="B74" t="s">
        <v>11</v>
      </c>
      <c r="C74">
        <v>1</v>
      </c>
      <c r="D74">
        <v>1</v>
      </c>
      <c r="E74">
        <v>341.8</v>
      </c>
      <c r="F74">
        <v>101330</v>
      </c>
      <c r="G74" t="s">
        <v>5</v>
      </c>
      <c r="H74">
        <v>1</v>
      </c>
      <c r="J74">
        <v>341.88605000000001</v>
      </c>
      <c r="K74">
        <f t="shared" si="5"/>
        <v>2.517554125219432E-2</v>
      </c>
    </row>
    <row r="75" spans="1:11" x14ac:dyDescent="0.4">
      <c r="A75" t="s">
        <v>6</v>
      </c>
      <c r="B75" t="s">
        <v>31</v>
      </c>
      <c r="C75">
        <v>0</v>
      </c>
      <c r="D75">
        <v>0</v>
      </c>
      <c r="E75">
        <v>330.08</v>
      </c>
      <c r="F75">
        <v>101330</v>
      </c>
      <c r="G75" t="s">
        <v>5</v>
      </c>
      <c r="H75">
        <v>0</v>
      </c>
      <c r="J75">
        <v>330.20573000000002</v>
      </c>
      <c r="K75">
        <f t="shared" si="5"/>
        <v>3.8090765874949334E-2</v>
      </c>
    </row>
    <row r="76" spans="1:11" x14ac:dyDescent="0.4">
      <c r="A76" t="s">
        <v>6</v>
      </c>
      <c r="B76" t="s">
        <v>12</v>
      </c>
      <c r="C76">
        <v>4.8999999999999998E-3</v>
      </c>
      <c r="D76">
        <v>1.43E-2</v>
      </c>
      <c r="E76">
        <v>329.8</v>
      </c>
      <c r="F76">
        <v>101330</v>
      </c>
      <c r="G76" t="s">
        <v>5</v>
      </c>
      <c r="H76">
        <v>1.3761499999999999E-2</v>
      </c>
      <c r="I76">
        <f t="shared" si="3"/>
        <v>3.7657342657342712</v>
      </c>
      <c r="J76">
        <v>329.94853999999998</v>
      </c>
      <c r="K76">
        <f t="shared" si="5"/>
        <v>4.5039417828977739E-2</v>
      </c>
    </row>
    <row r="77" spans="1:11" x14ac:dyDescent="0.4">
      <c r="A77" t="s">
        <v>6</v>
      </c>
      <c r="B77" t="s">
        <v>12</v>
      </c>
      <c r="C77">
        <v>1.18E-2</v>
      </c>
      <c r="D77">
        <v>3.3099999999999997E-2</v>
      </c>
      <c r="E77">
        <v>329.43</v>
      </c>
      <c r="F77">
        <v>101330</v>
      </c>
      <c r="G77" t="s">
        <v>5</v>
      </c>
      <c r="H77">
        <v>3.1984199999999997E-2</v>
      </c>
      <c r="I77">
        <f t="shared" si="3"/>
        <v>3.3709969788519647</v>
      </c>
      <c r="J77">
        <v>329.60860000000002</v>
      </c>
      <c r="K77">
        <f t="shared" si="5"/>
        <v>5.421485596333582E-2</v>
      </c>
    </row>
    <row r="78" spans="1:11" x14ac:dyDescent="0.4">
      <c r="A78" t="s">
        <v>6</v>
      </c>
      <c r="B78" t="s">
        <v>12</v>
      </c>
      <c r="C78">
        <v>2.1600000000000001E-2</v>
      </c>
      <c r="D78">
        <v>5.7000000000000002E-2</v>
      </c>
      <c r="E78">
        <v>328.99</v>
      </c>
      <c r="F78">
        <v>101330</v>
      </c>
      <c r="G78" t="s">
        <v>5</v>
      </c>
      <c r="H78">
        <v>5.5761100000000001E-2</v>
      </c>
      <c r="I78">
        <f t="shared" si="3"/>
        <v>2.1735087719298263</v>
      </c>
      <c r="J78">
        <v>329.16696999999999</v>
      </c>
      <c r="K78">
        <f t="shared" si="5"/>
        <v>5.3791908568644325E-2</v>
      </c>
    </row>
    <row r="79" spans="1:11" x14ac:dyDescent="0.4">
      <c r="A79" t="s">
        <v>6</v>
      </c>
      <c r="B79" t="s">
        <v>25</v>
      </c>
      <c r="C79">
        <v>3.3300000000000003E-2</v>
      </c>
      <c r="D79">
        <v>8.2799999999999999E-2</v>
      </c>
      <c r="E79">
        <v>328.51</v>
      </c>
      <c r="F79">
        <v>101330</v>
      </c>
      <c r="G79" t="s">
        <v>5</v>
      </c>
      <c r="H79">
        <v>8.1297999999999995E-2</v>
      </c>
      <c r="I79">
        <f t="shared" si="3"/>
        <v>1.8140096618357531</v>
      </c>
      <c r="J79">
        <v>328.69664</v>
      </c>
      <c r="K79">
        <f t="shared" si="5"/>
        <v>5.6814100027399846E-2</v>
      </c>
    </row>
    <row r="80" spans="1:11" x14ac:dyDescent="0.4">
      <c r="A80" t="s">
        <v>6</v>
      </c>
      <c r="B80" t="s">
        <v>12</v>
      </c>
      <c r="C80">
        <v>4.7899999999999998E-2</v>
      </c>
      <c r="D80">
        <v>0.11169999999999999</v>
      </c>
      <c r="E80">
        <v>327.98</v>
      </c>
      <c r="F80">
        <v>101330</v>
      </c>
      <c r="G80" t="s">
        <v>5</v>
      </c>
      <c r="H80">
        <v>0.10944280000000001</v>
      </c>
      <c r="I80">
        <f t="shared" si="3"/>
        <v>2.0207699194270252</v>
      </c>
      <c r="J80">
        <v>328.18578000000002</v>
      </c>
      <c r="K80">
        <f t="shared" si="5"/>
        <v>6.2741630587232242E-2</v>
      </c>
    </row>
    <row r="81" spans="1:11" x14ac:dyDescent="0.4">
      <c r="A81" t="s">
        <v>6</v>
      </c>
      <c r="B81" t="s">
        <v>12</v>
      </c>
      <c r="C81">
        <v>6.5299999999999997E-2</v>
      </c>
      <c r="D81">
        <v>0.1409</v>
      </c>
      <c r="E81">
        <v>327.45</v>
      </c>
      <c r="F81">
        <v>101330</v>
      </c>
      <c r="G81" t="s">
        <v>5</v>
      </c>
      <c r="H81">
        <v>0.1384843</v>
      </c>
      <c r="I81">
        <f t="shared" si="3"/>
        <v>1.7144783534421524</v>
      </c>
      <c r="J81">
        <v>327.67111</v>
      </c>
      <c r="K81">
        <f t="shared" si="5"/>
        <v>6.7524812948544857E-2</v>
      </c>
    </row>
    <row r="82" spans="1:11" x14ac:dyDescent="0.4">
      <c r="A82" t="s">
        <v>6</v>
      </c>
      <c r="B82" t="s">
        <v>12</v>
      </c>
      <c r="C82">
        <v>8.7099999999999997E-2</v>
      </c>
      <c r="D82">
        <v>0.1724</v>
      </c>
      <c r="E82">
        <v>326.92</v>
      </c>
      <c r="F82">
        <v>101330</v>
      </c>
      <c r="G82" t="s">
        <v>5</v>
      </c>
      <c r="H82">
        <v>0.16929089999999999</v>
      </c>
      <c r="I82">
        <f t="shared" si="3"/>
        <v>1.8034222737819046</v>
      </c>
      <c r="J82">
        <v>327.14577000000003</v>
      </c>
      <c r="K82">
        <f t="shared" si="5"/>
        <v>6.9059708797262739E-2</v>
      </c>
    </row>
    <row r="83" spans="1:11" x14ac:dyDescent="0.4">
      <c r="A83" t="s">
        <v>6</v>
      </c>
      <c r="B83" t="s">
        <v>12</v>
      </c>
      <c r="C83">
        <v>0.1133</v>
      </c>
      <c r="D83">
        <v>0.2019</v>
      </c>
      <c r="E83">
        <v>326.39</v>
      </c>
      <c r="F83">
        <v>101330</v>
      </c>
      <c r="G83" t="s">
        <v>5</v>
      </c>
      <c r="H83">
        <v>0.19990169999999999</v>
      </c>
      <c r="I83">
        <f t="shared" si="3"/>
        <v>0.98974739970282732</v>
      </c>
      <c r="J83">
        <v>326.65474</v>
      </c>
      <c r="K83">
        <f t="shared" si="5"/>
        <v>8.1111553662801414E-2</v>
      </c>
    </row>
    <row r="84" spans="1:11" x14ac:dyDescent="0.4">
      <c r="A84" t="s">
        <v>6</v>
      </c>
      <c r="B84" t="s">
        <v>12</v>
      </c>
      <c r="C84">
        <v>0.14299999999999999</v>
      </c>
      <c r="D84">
        <v>0.2293</v>
      </c>
      <c r="E84">
        <v>325.95999999999998</v>
      </c>
      <c r="F84">
        <v>101330</v>
      </c>
      <c r="G84" t="s">
        <v>5</v>
      </c>
      <c r="H84">
        <v>0.2281957</v>
      </c>
      <c r="I84">
        <f t="shared" si="3"/>
        <v>0.48159616223288376</v>
      </c>
      <c r="J84">
        <v>326.24081000000001</v>
      </c>
      <c r="K84">
        <f t="shared" si="5"/>
        <v>8.6148607191075866E-2</v>
      </c>
    </row>
    <row r="85" spans="1:11" x14ac:dyDescent="0.4">
      <c r="A85" t="s">
        <v>6</v>
      </c>
      <c r="B85" t="s">
        <v>12</v>
      </c>
      <c r="C85">
        <v>0.17510000000000001</v>
      </c>
      <c r="D85">
        <v>0.253</v>
      </c>
      <c r="E85">
        <v>325.62</v>
      </c>
      <c r="F85">
        <v>101330</v>
      </c>
      <c r="G85" t="s">
        <v>5</v>
      </c>
      <c r="H85">
        <v>0.2531119</v>
      </c>
      <c r="I85">
        <f t="shared" si="3"/>
        <v>4.4229249011856958E-2</v>
      </c>
      <c r="J85">
        <v>325.92135000000002</v>
      </c>
      <c r="K85">
        <f t="shared" si="5"/>
        <v>9.2546526626132775E-2</v>
      </c>
    </row>
    <row r="86" spans="1:11" x14ac:dyDescent="0.4">
      <c r="A86" t="s">
        <v>6</v>
      </c>
      <c r="B86" t="s">
        <v>12</v>
      </c>
      <c r="C86">
        <v>0.2077</v>
      </c>
      <c r="D86">
        <v>0.27510000000000001</v>
      </c>
      <c r="E86">
        <v>325.43</v>
      </c>
      <c r="F86">
        <v>101330</v>
      </c>
      <c r="G86" t="s">
        <v>5</v>
      </c>
      <c r="H86">
        <v>0.27400269999999999</v>
      </c>
      <c r="I86">
        <f t="shared" si="3"/>
        <v>0.3988731370410844</v>
      </c>
      <c r="J86">
        <v>325.69788</v>
      </c>
      <c r="K86">
        <f t="shared" si="5"/>
        <v>8.2315705374424925E-2</v>
      </c>
    </row>
    <row r="87" spans="1:11" x14ac:dyDescent="0.4">
      <c r="A87" t="s">
        <v>6</v>
      </c>
      <c r="B87" t="s">
        <v>12</v>
      </c>
      <c r="C87">
        <v>0.23549999999999999</v>
      </c>
      <c r="D87">
        <v>0.29149999999999998</v>
      </c>
      <c r="E87">
        <v>325.3</v>
      </c>
      <c r="F87">
        <v>101330</v>
      </c>
      <c r="G87" t="s">
        <v>5</v>
      </c>
      <c r="H87">
        <v>0.28921200000000002</v>
      </c>
      <c r="I87">
        <f t="shared" si="3"/>
        <v>0.78490566037734377</v>
      </c>
      <c r="J87">
        <v>325.56801999999999</v>
      </c>
      <c r="K87">
        <f t="shared" si="5"/>
        <v>8.2391638487543384E-2</v>
      </c>
    </row>
    <row r="88" spans="1:11" x14ac:dyDescent="0.4">
      <c r="A88" t="s">
        <v>6</v>
      </c>
      <c r="B88" t="s">
        <v>12</v>
      </c>
      <c r="C88">
        <v>0.2702</v>
      </c>
      <c r="D88">
        <v>0.30580000000000002</v>
      </c>
      <c r="E88">
        <v>325.2</v>
      </c>
      <c r="F88">
        <v>101330</v>
      </c>
      <c r="G88" t="s">
        <v>5</v>
      </c>
      <c r="H88">
        <v>0.30571730000000003</v>
      </c>
      <c r="I88">
        <f t="shared" si="3"/>
        <v>2.704381948985975E-2</v>
      </c>
      <c r="J88">
        <v>325.46588000000003</v>
      </c>
      <c r="K88">
        <f t="shared" si="5"/>
        <v>8.1758917589187671E-2</v>
      </c>
    </row>
    <row r="89" spans="1:11" x14ac:dyDescent="0.4">
      <c r="A89" t="s">
        <v>6</v>
      </c>
      <c r="B89" t="s">
        <v>12</v>
      </c>
      <c r="C89">
        <v>0.30209999999999998</v>
      </c>
      <c r="D89">
        <v>0.31790000000000002</v>
      </c>
      <c r="E89">
        <v>325.14</v>
      </c>
      <c r="F89">
        <v>101330</v>
      </c>
      <c r="G89" t="s">
        <v>5</v>
      </c>
      <c r="H89">
        <v>0.31911430000000002</v>
      </c>
      <c r="I89">
        <f t="shared" si="3"/>
        <v>0.3819754639823848</v>
      </c>
      <c r="J89">
        <v>325.41818999999998</v>
      </c>
      <c r="K89">
        <f t="shared" si="5"/>
        <v>8.556006643291969E-2</v>
      </c>
    </row>
    <row r="90" spans="1:11" x14ac:dyDescent="0.4">
      <c r="A90" t="s">
        <v>6</v>
      </c>
      <c r="B90" t="s">
        <v>12</v>
      </c>
      <c r="C90">
        <v>0.33279999999999998</v>
      </c>
      <c r="D90">
        <v>0.32990000000000003</v>
      </c>
      <c r="E90">
        <v>325.14</v>
      </c>
      <c r="F90">
        <v>101330</v>
      </c>
      <c r="G90" t="s">
        <v>5</v>
      </c>
      <c r="H90">
        <v>0.3308758</v>
      </c>
      <c r="I90">
        <f t="shared" si="3"/>
        <v>0.29578660200059748</v>
      </c>
      <c r="J90">
        <v>325.40616999999997</v>
      </c>
      <c r="K90">
        <f t="shared" si="5"/>
        <v>8.1863197391889117E-2</v>
      </c>
    </row>
    <row r="91" spans="1:11" x14ac:dyDescent="0.4">
      <c r="A91" t="s">
        <v>6</v>
      </c>
      <c r="B91" t="s">
        <v>12</v>
      </c>
      <c r="C91">
        <v>0.36270000000000002</v>
      </c>
      <c r="D91">
        <v>0.3402</v>
      </c>
      <c r="E91">
        <v>325.16000000000003</v>
      </c>
      <c r="F91">
        <v>101330</v>
      </c>
      <c r="G91" t="s">
        <v>5</v>
      </c>
      <c r="H91">
        <v>0.34160430000000003</v>
      </c>
      <c r="I91">
        <f t="shared" si="3"/>
        <v>0.41278659611993679</v>
      </c>
      <c r="J91">
        <v>325.42196000000001</v>
      </c>
      <c r="K91">
        <f t="shared" si="5"/>
        <v>8.0563414934182481E-2</v>
      </c>
    </row>
    <row r="92" spans="1:11" x14ac:dyDescent="0.4">
      <c r="A92" t="s">
        <v>6</v>
      </c>
      <c r="B92" t="s">
        <v>12</v>
      </c>
      <c r="C92">
        <v>0.39340000000000003</v>
      </c>
      <c r="D92">
        <v>0.35070000000000001</v>
      </c>
      <c r="E92">
        <v>325.2</v>
      </c>
      <c r="F92">
        <v>101330</v>
      </c>
      <c r="G92" t="s">
        <v>5</v>
      </c>
      <c r="H92">
        <v>0.35216229999999998</v>
      </c>
      <c r="I92">
        <f t="shared" si="3"/>
        <v>0.41696606786426349</v>
      </c>
      <c r="J92">
        <v>325.46391</v>
      </c>
      <c r="K92">
        <f t="shared" si="5"/>
        <v>8.1153136531368353E-2</v>
      </c>
    </row>
    <row r="93" spans="1:11" x14ac:dyDescent="0.4">
      <c r="A93" t="s">
        <v>6</v>
      </c>
      <c r="B93" t="s">
        <v>12</v>
      </c>
      <c r="C93">
        <v>0.42249999999999999</v>
      </c>
      <c r="D93">
        <v>0.36080000000000001</v>
      </c>
      <c r="E93">
        <v>325.27999999999997</v>
      </c>
      <c r="F93">
        <v>101330</v>
      </c>
      <c r="G93" t="s">
        <v>5</v>
      </c>
      <c r="H93">
        <v>0.3619713</v>
      </c>
      <c r="I93">
        <f t="shared" ref="I93:I108" si="6">100*ABS((H93-D93)/D93)</f>
        <v>0.32463968957871014</v>
      </c>
      <c r="J93">
        <v>325.52701000000002</v>
      </c>
      <c r="K93">
        <f t="shared" si="5"/>
        <v>7.5937653713737605E-2</v>
      </c>
    </row>
    <row r="94" spans="1:11" x14ac:dyDescent="0.4">
      <c r="A94" t="s">
        <v>6</v>
      </c>
      <c r="B94" t="s">
        <v>12</v>
      </c>
      <c r="C94">
        <v>0.45200000000000001</v>
      </c>
      <c r="D94">
        <v>0.37090000000000001</v>
      </c>
      <c r="E94">
        <v>325.41000000000003</v>
      </c>
      <c r="F94">
        <v>101330</v>
      </c>
      <c r="G94" t="s">
        <v>5</v>
      </c>
      <c r="H94">
        <v>0.3719211</v>
      </c>
      <c r="I94">
        <f t="shared" si="6"/>
        <v>0.27530331625775062</v>
      </c>
      <c r="J94">
        <v>325.61466000000001</v>
      </c>
      <c r="K94">
        <f t="shared" si="5"/>
        <v>6.289296579699144E-2</v>
      </c>
    </row>
    <row r="95" spans="1:11" x14ac:dyDescent="0.4">
      <c r="A95" t="s">
        <v>6</v>
      </c>
      <c r="B95" t="s">
        <v>12</v>
      </c>
      <c r="C95">
        <v>0.48149999999999998</v>
      </c>
      <c r="D95">
        <v>0.38119999999999998</v>
      </c>
      <c r="E95">
        <v>325.52999999999997</v>
      </c>
      <c r="F95">
        <v>101330</v>
      </c>
      <c r="G95" t="s">
        <v>5</v>
      </c>
      <c r="H95">
        <v>0.38206620000000002</v>
      </c>
      <c r="I95">
        <f t="shared" si="6"/>
        <v>0.22722980062960105</v>
      </c>
      <c r="J95">
        <v>325.72778</v>
      </c>
      <c r="K95">
        <f t="shared" si="5"/>
        <v>6.0756305102455374E-2</v>
      </c>
    </row>
    <row r="96" spans="1:11" x14ac:dyDescent="0.4">
      <c r="A96" t="s">
        <v>6</v>
      </c>
      <c r="B96" t="s">
        <v>31</v>
      </c>
      <c r="C96">
        <v>0.51219999999999999</v>
      </c>
      <c r="D96">
        <v>0.39190000000000003</v>
      </c>
      <c r="E96">
        <v>325.64999999999998</v>
      </c>
      <c r="F96">
        <v>101330</v>
      </c>
      <c r="G96" t="s">
        <v>5</v>
      </c>
      <c r="H96">
        <v>0.39302999999999999</v>
      </c>
      <c r="I96">
        <f t="shared" si="6"/>
        <v>0.28833886195457115</v>
      </c>
      <c r="J96">
        <v>325.87545999999998</v>
      </c>
      <c r="K96">
        <f t="shared" si="5"/>
        <v>6.9233840012282583E-2</v>
      </c>
    </row>
    <row r="97" spans="1:13" x14ac:dyDescent="0.4">
      <c r="A97" t="s">
        <v>6</v>
      </c>
      <c r="B97" t="s">
        <v>12</v>
      </c>
      <c r="C97">
        <v>0.53859999999999997</v>
      </c>
      <c r="D97">
        <v>0.40189999999999998</v>
      </c>
      <c r="E97">
        <v>325.83999999999997</v>
      </c>
      <c r="F97">
        <v>101330</v>
      </c>
      <c r="G97" t="s">
        <v>5</v>
      </c>
      <c r="H97">
        <v>0.40294819999999998</v>
      </c>
      <c r="I97">
        <f t="shared" si="6"/>
        <v>0.26081114705150515</v>
      </c>
      <c r="J97">
        <v>326.02999</v>
      </c>
      <c r="K97">
        <f t="shared" si="5"/>
        <v>5.8307758409042162E-2</v>
      </c>
    </row>
    <row r="98" spans="1:13" x14ac:dyDescent="0.4">
      <c r="A98" t="s">
        <v>6</v>
      </c>
      <c r="B98" t="s">
        <v>12</v>
      </c>
      <c r="C98">
        <v>0.60309999999999997</v>
      </c>
      <c r="D98">
        <v>0.43340000000000001</v>
      </c>
      <c r="E98">
        <v>326.35000000000002</v>
      </c>
      <c r="F98">
        <v>101330</v>
      </c>
      <c r="G98" t="s">
        <v>5</v>
      </c>
      <c r="H98">
        <v>0.43002059999999998</v>
      </c>
      <c r="I98">
        <f t="shared" si="6"/>
        <v>0.77974157821874301</v>
      </c>
      <c r="J98">
        <v>326.53793999999999</v>
      </c>
      <c r="K98">
        <f t="shared" si="5"/>
        <v>5.7588478627231224E-2</v>
      </c>
    </row>
    <row r="99" spans="1:13" x14ac:dyDescent="0.4">
      <c r="A99" t="s">
        <v>6</v>
      </c>
      <c r="B99" t="s">
        <v>12</v>
      </c>
      <c r="C99">
        <v>0.64659999999999995</v>
      </c>
      <c r="D99">
        <v>0.4541</v>
      </c>
      <c r="E99">
        <v>326.85000000000002</v>
      </c>
      <c r="F99">
        <v>101330</v>
      </c>
      <c r="G99" t="s">
        <v>5</v>
      </c>
      <c r="H99">
        <v>0.45151479999999999</v>
      </c>
      <c r="I99">
        <f t="shared" si="6"/>
        <v>0.56930191587756218</v>
      </c>
      <c r="J99">
        <v>327.01254999999998</v>
      </c>
      <c r="K99">
        <f t="shared" si="5"/>
        <v>4.9732293100796486E-2</v>
      </c>
    </row>
    <row r="100" spans="1:13" x14ac:dyDescent="0.4">
      <c r="A100" t="s">
        <v>6</v>
      </c>
      <c r="B100" t="s">
        <v>12</v>
      </c>
      <c r="C100">
        <v>0.69930000000000003</v>
      </c>
      <c r="D100">
        <v>0.48280000000000001</v>
      </c>
      <c r="E100">
        <v>327.56</v>
      </c>
      <c r="F100">
        <v>101330</v>
      </c>
      <c r="G100" t="s">
        <v>5</v>
      </c>
      <c r="H100">
        <v>0.48261179999999998</v>
      </c>
      <c r="I100">
        <f t="shared" si="6"/>
        <v>3.8980944490477884E-2</v>
      </c>
      <c r="J100">
        <v>327.77717000000001</v>
      </c>
      <c r="K100">
        <f t="shared" si="5"/>
        <v>6.6299303944318613E-2</v>
      </c>
    </row>
    <row r="101" spans="1:13" x14ac:dyDescent="0.4">
      <c r="A101" t="s">
        <v>6</v>
      </c>
      <c r="B101" t="s">
        <v>12</v>
      </c>
      <c r="C101">
        <v>0.74880000000000002</v>
      </c>
      <c r="D101">
        <v>0.5181</v>
      </c>
      <c r="E101">
        <v>328.54</v>
      </c>
      <c r="F101">
        <v>101330</v>
      </c>
      <c r="G101" t="s">
        <v>5</v>
      </c>
      <c r="H101">
        <v>0.51883219999999997</v>
      </c>
      <c r="I101">
        <f t="shared" si="6"/>
        <v>0.14132406871259615</v>
      </c>
      <c r="J101">
        <v>328.74360999999999</v>
      </c>
      <c r="K101">
        <f t="shared" si="5"/>
        <v>6.1974188835444449E-2</v>
      </c>
    </row>
    <row r="102" spans="1:13" x14ac:dyDescent="0.4">
      <c r="A102" t="s">
        <v>6</v>
      </c>
      <c r="B102" t="s">
        <v>12</v>
      </c>
      <c r="C102">
        <v>0.79810000000000003</v>
      </c>
      <c r="D102">
        <v>0.56489999999999996</v>
      </c>
      <c r="E102">
        <v>329.93</v>
      </c>
      <c r="F102">
        <v>101330</v>
      </c>
      <c r="G102" t="s">
        <v>5</v>
      </c>
      <c r="H102">
        <v>0.56448920000000002</v>
      </c>
      <c r="I102">
        <f t="shared" si="6"/>
        <v>7.2720835546102577E-2</v>
      </c>
      <c r="J102">
        <v>330.02537999999998</v>
      </c>
      <c r="K102">
        <f t="shared" si="5"/>
        <v>2.8909162549624882E-2</v>
      </c>
    </row>
    <row r="103" spans="1:13" x14ac:dyDescent="0.4">
      <c r="A103" t="s">
        <v>6</v>
      </c>
      <c r="B103" t="s">
        <v>12</v>
      </c>
      <c r="C103">
        <v>0.84150000000000003</v>
      </c>
      <c r="D103">
        <v>0.61860000000000004</v>
      </c>
      <c r="E103">
        <v>331.57</v>
      </c>
      <c r="F103">
        <v>101330</v>
      </c>
      <c r="G103" t="s">
        <v>5</v>
      </c>
      <c r="H103">
        <v>0.61590259999999997</v>
      </c>
      <c r="I103">
        <f t="shared" si="6"/>
        <v>0.43604914322665239</v>
      </c>
      <c r="J103">
        <v>331.50333000000001</v>
      </c>
      <c r="K103">
        <f t="shared" si="5"/>
        <v>2.0107367976592513E-2</v>
      </c>
    </row>
    <row r="104" spans="1:13" x14ac:dyDescent="0.4">
      <c r="A104" t="s">
        <v>6</v>
      </c>
      <c r="B104" t="s">
        <v>12</v>
      </c>
      <c r="C104">
        <v>0.88190000000000002</v>
      </c>
      <c r="D104">
        <v>0.67920000000000003</v>
      </c>
      <c r="E104">
        <v>333.37</v>
      </c>
      <c r="F104">
        <v>101330</v>
      </c>
      <c r="G104" t="s">
        <v>5</v>
      </c>
      <c r="H104">
        <v>0.67719269999999998</v>
      </c>
      <c r="I104">
        <f t="shared" si="6"/>
        <v>0.29553886925795714</v>
      </c>
      <c r="J104">
        <v>333.26688000000001</v>
      </c>
      <c r="K104">
        <f t="shared" si="5"/>
        <v>3.0932597414281393E-2</v>
      </c>
    </row>
    <row r="105" spans="1:13" x14ac:dyDescent="0.4">
      <c r="A105" t="s">
        <v>6</v>
      </c>
      <c r="B105" t="s">
        <v>12</v>
      </c>
      <c r="C105">
        <v>0.91879999999999995</v>
      </c>
      <c r="D105">
        <v>0.74639999999999995</v>
      </c>
      <c r="E105">
        <v>335.3</v>
      </c>
      <c r="F105">
        <v>101330</v>
      </c>
      <c r="G105" t="s">
        <v>5</v>
      </c>
      <c r="H105">
        <v>0.74920640000000005</v>
      </c>
      <c r="I105">
        <f t="shared" si="6"/>
        <v>0.37599142550912351</v>
      </c>
      <c r="J105">
        <v>335.30313000000001</v>
      </c>
      <c r="K105">
        <f t="shared" si="5"/>
        <v>9.3349239486989108E-4</v>
      </c>
    </row>
    <row r="106" spans="1:13" x14ac:dyDescent="0.4">
      <c r="A106" t="s">
        <v>6</v>
      </c>
      <c r="B106" t="s">
        <v>12</v>
      </c>
      <c r="C106">
        <v>0.94679999999999997</v>
      </c>
      <c r="D106">
        <v>0.81120000000000003</v>
      </c>
      <c r="E106">
        <v>337.23</v>
      </c>
      <c r="F106">
        <v>101330</v>
      </c>
      <c r="G106" t="s">
        <v>5</v>
      </c>
      <c r="H106">
        <v>0.81803899999999996</v>
      </c>
      <c r="I106">
        <f t="shared" si="6"/>
        <v>0.84307199211044481</v>
      </c>
      <c r="J106">
        <v>337.19351</v>
      </c>
      <c r="K106">
        <f t="shared" si="5"/>
        <v>1.0820508258463004E-2</v>
      </c>
    </row>
    <row r="107" spans="1:13" x14ac:dyDescent="0.4">
      <c r="A107" t="s">
        <v>6</v>
      </c>
      <c r="B107" t="s">
        <v>12</v>
      </c>
      <c r="C107">
        <v>0.97089999999999999</v>
      </c>
      <c r="D107">
        <v>0.88419999999999999</v>
      </c>
      <c r="E107">
        <v>339.2</v>
      </c>
      <c r="F107">
        <v>101330</v>
      </c>
      <c r="G107" t="s">
        <v>5</v>
      </c>
      <c r="H107">
        <v>0.89051290000000005</v>
      </c>
      <c r="I107">
        <f t="shared" si="6"/>
        <v>0.71396742818367631</v>
      </c>
      <c r="J107">
        <v>339.11622</v>
      </c>
      <c r="K107">
        <f t="shared" si="5"/>
        <v>2.4699292452827298E-2</v>
      </c>
    </row>
    <row r="108" spans="1:13" x14ac:dyDescent="0.4">
      <c r="A108" t="s">
        <v>6</v>
      </c>
      <c r="B108" t="s">
        <v>12</v>
      </c>
      <c r="C108">
        <v>0.98919999999999997</v>
      </c>
      <c r="D108">
        <v>0.95289999999999997</v>
      </c>
      <c r="E108">
        <v>340.83</v>
      </c>
      <c r="F108">
        <v>101330</v>
      </c>
      <c r="G108" t="s">
        <v>5</v>
      </c>
      <c r="H108">
        <v>0.95608289999999996</v>
      </c>
      <c r="I108">
        <f t="shared" si="6"/>
        <v>0.33402245776051936</v>
      </c>
      <c r="J108">
        <v>340.79432000000003</v>
      </c>
      <c r="K108">
        <f t="shared" si="5"/>
        <v>1.0468562039713828E-2</v>
      </c>
    </row>
    <row r="109" spans="1:13" x14ac:dyDescent="0.4">
      <c r="A109" t="s">
        <v>6</v>
      </c>
      <c r="B109" t="s">
        <v>12</v>
      </c>
      <c r="C109">
        <v>1</v>
      </c>
      <c r="D109">
        <v>1</v>
      </c>
      <c r="E109">
        <v>341.89</v>
      </c>
      <c r="F109">
        <v>101330</v>
      </c>
      <c r="G109" t="s">
        <v>5</v>
      </c>
      <c r="H109">
        <v>1</v>
      </c>
      <c r="J109">
        <v>341.88605000000001</v>
      </c>
      <c r="K109">
        <f t="shared" si="5"/>
        <v>1.1553423615709168E-3</v>
      </c>
    </row>
    <row r="110" spans="1:13" x14ac:dyDescent="0.4">
      <c r="A110" t="s">
        <v>6</v>
      </c>
      <c r="B110" t="s">
        <v>32</v>
      </c>
      <c r="C110">
        <v>4.7100000000000003E-2</v>
      </c>
      <c r="D110">
        <v>0.2359</v>
      </c>
      <c r="E110">
        <v>308.14999999999998</v>
      </c>
      <c r="F110">
        <v>8490</v>
      </c>
      <c r="G110" t="s">
        <v>4</v>
      </c>
      <c r="H110">
        <v>0.23065949999999999</v>
      </c>
      <c r="I110">
        <f t="shared" ref="I110:I121" si="7">100*ABS((H110-D110)/D110)</f>
        <v>2.2214921576939419</v>
      </c>
      <c r="L110">
        <v>8685.7199999999993</v>
      </c>
      <c r="M110">
        <f t="shared" ref="M110:M121" si="8">100*ABS((L110-F110)/F110)</f>
        <v>2.3053003533568828</v>
      </c>
    </row>
    <row r="111" spans="1:13" x14ac:dyDescent="0.4">
      <c r="A111" t="s">
        <v>6</v>
      </c>
      <c r="B111" t="s">
        <v>13</v>
      </c>
      <c r="C111">
        <v>8.6300000000000002E-2</v>
      </c>
      <c r="D111">
        <v>0.37059999999999998</v>
      </c>
      <c r="E111">
        <v>308.14999999999998</v>
      </c>
      <c r="F111">
        <v>9900</v>
      </c>
      <c r="G111" t="s">
        <v>4</v>
      </c>
      <c r="H111">
        <v>0.35767339999999997</v>
      </c>
      <c r="I111">
        <f t="shared" si="7"/>
        <v>3.4880194279546708</v>
      </c>
      <c r="L111">
        <v>9994.2199999999993</v>
      </c>
      <c r="M111">
        <f t="shared" si="8"/>
        <v>0.95171717171716519</v>
      </c>
    </row>
    <row r="112" spans="1:13" x14ac:dyDescent="0.4">
      <c r="A112" t="s">
        <v>6</v>
      </c>
      <c r="B112" t="s">
        <v>13</v>
      </c>
      <c r="C112">
        <v>0.1188</v>
      </c>
      <c r="D112">
        <v>0.44800000000000001</v>
      </c>
      <c r="E112">
        <v>308.14999999999998</v>
      </c>
      <c r="F112">
        <v>10900</v>
      </c>
      <c r="G112" t="s">
        <v>4</v>
      </c>
      <c r="H112">
        <v>0.43704090000000001</v>
      </c>
      <c r="I112">
        <f t="shared" si="7"/>
        <v>2.4462276785714283</v>
      </c>
      <c r="L112">
        <v>11024.19</v>
      </c>
      <c r="M112">
        <f t="shared" si="8"/>
        <v>1.1393577981651424</v>
      </c>
    </row>
    <row r="113" spans="1:13" x14ac:dyDescent="0.4">
      <c r="A113" t="s">
        <v>6</v>
      </c>
      <c r="B113" t="s">
        <v>26</v>
      </c>
      <c r="C113">
        <v>0.1711</v>
      </c>
      <c r="D113">
        <v>0.54969999999999997</v>
      </c>
      <c r="E113">
        <v>308.14999999999998</v>
      </c>
      <c r="F113">
        <v>12470</v>
      </c>
      <c r="G113" t="s">
        <v>4</v>
      </c>
      <c r="H113">
        <v>0.53370930000000005</v>
      </c>
      <c r="I113">
        <f t="shared" si="7"/>
        <v>2.9089867200290911</v>
      </c>
      <c r="L113">
        <v>12588.44</v>
      </c>
      <c r="M113">
        <f t="shared" si="8"/>
        <v>0.94979951884523273</v>
      </c>
    </row>
    <row r="114" spans="1:13" x14ac:dyDescent="0.4">
      <c r="A114" t="s">
        <v>6</v>
      </c>
      <c r="B114" t="s">
        <v>13</v>
      </c>
      <c r="C114">
        <v>0.25140000000000001</v>
      </c>
      <c r="D114">
        <v>0.65200000000000002</v>
      </c>
      <c r="E114">
        <v>308.14999999999998</v>
      </c>
      <c r="F114">
        <v>15000</v>
      </c>
      <c r="G114" t="s">
        <v>4</v>
      </c>
      <c r="H114">
        <v>0.63737250000000001</v>
      </c>
      <c r="I114">
        <f t="shared" si="7"/>
        <v>2.2434815950920268</v>
      </c>
      <c r="L114">
        <v>14798.38</v>
      </c>
      <c r="M114">
        <f t="shared" si="8"/>
        <v>1.3441333333333387</v>
      </c>
    </row>
    <row r="115" spans="1:13" x14ac:dyDescent="0.4">
      <c r="A115" t="s">
        <v>6</v>
      </c>
      <c r="B115" t="s">
        <v>13</v>
      </c>
      <c r="C115">
        <v>0.3004</v>
      </c>
      <c r="D115">
        <v>0.69020000000000004</v>
      </c>
      <c r="E115">
        <v>308.14999999999998</v>
      </c>
      <c r="F115">
        <v>16155</v>
      </c>
      <c r="G115" t="s">
        <v>4</v>
      </c>
      <c r="H115">
        <v>0.68452259999999998</v>
      </c>
      <c r="I115">
        <f t="shared" si="7"/>
        <v>0.82257316719792151</v>
      </c>
      <c r="L115">
        <v>16051.41</v>
      </c>
      <c r="M115">
        <f t="shared" si="8"/>
        <v>0.64122562674094796</v>
      </c>
    </row>
    <row r="116" spans="1:13" x14ac:dyDescent="0.4">
      <c r="A116" t="s">
        <v>6</v>
      </c>
      <c r="B116" t="s">
        <v>13</v>
      </c>
      <c r="C116">
        <v>0.4506</v>
      </c>
      <c r="D116">
        <v>0.79400000000000004</v>
      </c>
      <c r="E116">
        <v>308.14999999999998</v>
      </c>
      <c r="F116">
        <v>20005</v>
      </c>
      <c r="G116" t="s">
        <v>4</v>
      </c>
      <c r="H116">
        <v>0.78830849999999997</v>
      </c>
      <c r="I116">
        <f t="shared" si="7"/>
        <v>0.71681360201512234</v>
      </c>
      <c r="L116">
        <v>19555.310000000001</v>
      </c>
      <c r="M116">
        <f t="shared" si="8"/>
        <v>2.2478880279929951</v>
      </c>
    </row>
    <row r="117" spans="1:13" x14ac:dyDescent="0.4">
      <c r="A117" t="s">
        <v>6</v>
      </c>
      <c r="B117" t="s">
        <v>13</v>
      </c>
      <c r="C117">
        <v>0.54830000000000001</v>
      </c>
      <c r="D117">
        <v>0.8407</v>
      </c>
      <c r="E117">
        <v>308.14999999999998</v>
      </c>
      <c r="F117">
        <v>22045</v>
      </c>
      <c r="G117" t="s">
        <v>4</v>
      </c>
      <c r="H117">
        <v>0.83721480000000004</v>
      </c>
      <c r="I117">
        <f t="shared" si="7"/>
        <v>0.41455929582490375</v>
      </c>
      <c r="L117">
        <v>21642.880000000001</v>
      </c>
      <c r="M117">
        <f t="shared" si="8"/>
        <v>1.8240870945792651</v>
      </c>
    </row>
    <row r="118" spans="1:13" x14ac:dyDescent="0.4">
      <c r="A118" t="s">
        <v>6</v>
      </c>
      <c r="B118" t="s">
        <v>13</v>
      </c>
      <c r="C118">
        <v>0.64400000000000002</v>
      </c>
      <c r="D118">
        <v>0.88119999999999998</v>
      </c>
      <c r="E118">
        <v>308.14999999999998</v>
      </c>
      <c r="F118">
        <v>23900</v>
      </c>
      <c r="G118" t="s">
        <v>4</v>
      </c>
      <c r="H118">
        <v>0.87752379999999996</v>
      </c>
      <c r="I118">
        <f t="shared" si="7"/>
        <v>0.41718111665910329</v>
      </c>
      <c r="L118">
        <v>23601.19</v>
      </c>
      <c r="M118">
        <f t="shared" si="8"/>
        <v>1.2502510460251102</v>
      </c>
    </row>
    <row r="119" spans="1:13" x14ac:dyDescent="0.4">
      <c r="A119" t="s">
        <v>6</v>
      </c>
      <c r="B119" t="s">
        <v>13</v>
      </c>
      <c r="C119">
        <v>0.753</v>
      </c>
      <c r="D119">
        <v>0.92</v>
      </c>
      <c r="E119">
        <v>308.14999999999998</v>
      </c>
      <c r="F119">
        <v>26120</v>
      </c>
      <c r="G119" t="s">
        <v>4</v>
      </c>
      <c r="H119">
        <v>0.91793820000000004</v>
      </c>
      <c r="I119">
        <f t="shared" si="7"/>
        <v>0.22410869565217417</v>
      </c>
      <c r="L119">
        <v>25779.71</v>
      </c>
      <c r="M119">
        <f t="shared" si="8"/>
        <v>1.3027947932618718</v>
      </c>
    </row>
    <row r="120" spans="1:13" x14ac:dyDescent="0.4">
      <c r="A120" t="s">
        <v>6</v>
      </c>
      <c r="B120" t="s">
        <v>13</v>
      </c>
      <c r="C120">
        <v>0.82210000000000005</v>
      </c>
      <c r="D120">
        <v>0.94230000000000003</v>
      </c>
      <c r="E120">
        <v>308.14999999999998</v>
      </c>
      <c r="F120">
        <v>27315</v>
      </c>
      <c r="G120" t="s">
        <v>4</v>
      </c>
      <c r="H120">
        <v>0.94171439999999995</v>
      </c>
      <c r="I120">
        <f t="shared" si="7"/>
        <v>6.2145813435219667E-2</v>
      </c>
      <c r="L120">
        <v>27154.86</v>
      </c>
      <c r="M120">
        <f t="shared" si="8"/>
        <v>0.58627127951674696</v>
      </c>
    </row>
    <row r="121" spans="1:13" x14ac:dyDescent="0.4">
      <c r="A121" t="s">
        <v>6</v>
      </c>
      <c r="B121" t="s">
        <v>13</v>
      </c>
      <c r="C121">
        <v>0.91949999999999998</v>
      </c>
      <c r="D121">
        <v>0.9728</v>
      </c>
      <c r="E121">
        <v>308.14999999999998</v>
      </c>
      <c r="F121">
        <v>29105</v>
      </c>
      <c r="G121" t="s">
        <v>4</v>
      </c>
      <c r="H121">
        <v>0.97390209999999999</v>
      </c>
      <c r="I121">
        <f t="shared" si="7"/>
        <v>0.11329152960526262</v>
      </c>
      <c r="L121">
        <v>29112.01</v>
      </c>
      <c r="M121">
        <f t="shared" si="8"/>
        <v>2.4085208727017349E-2</v>
      </c>
    </row>
    <row r="122" spans="1:13" x14ac:dyDescent="0.4">
      <c r="A122" t="s">
        <v>27</v>
      </c>
      <c r="B122" t="s">
        <v>15</v>
      </c>
      <c r="C122">
        <v>0</v>
      </c>
      <c r="D122">
        <v>0</v>
      </c>
      <c r="E122">
        <v>351.42320000000001</v>
      </c>
      <c r="F122">
        <v>101325</v>
      </c>
      <c r="G122" t="s">
        <v>5</v>
      </c>
      <c r="H122">
        <v>0</v>
      </c>
      <c r="J122">
        <v>351.46033</v>
      </c>
      <c r="K122">
        <f t="shared" ref="K122:K140" si="9">100*ABS((J122-E122)/E122)</f>
        <v>1.0565608645072538E-2</v>
      </c>
    </row>
    <row r="123" spans="1:13" x14ac:dyDescent="0.4">
      <c r="A123" t="s">
        <v>14</v>
      </c>
      <c r="B123" t="s">
        <v>15</v>
      </c>
      <c r="C123">
        <v>3.5000000000000003E-2</v>
      </c>
      <c r="D123">
        <v>0.122</v>
      </c>
      <c r="E123">
        <v>349.52339999999998</v>
      </c>
      <c r="F123">
        <v>101325</v>
      </c>
      <c r="G123" t="s">
        <v>5</v>
      </c>
      <c r="H123">
        <v>0.15107499999999999</v>
      </c>
      <c r="I123">
        <f t="shared" ref="I123:I151" si="10">100*ABS((H123-D123)/D123)</f>
        <v>23.831967213114748</v>
      </c>
      <c r="J123">
        <v>348.22071</v>
      </c>
      <c r="K123">
        <f t="shared" si="9"/>
        <v>0.37270466011717218</v>
      </c>
    </row>
    <row r="124" spans="1:13" x14ac:dyDescent="0.4">
      <c r="A124" t="s">
        <v>14</v>
      </c>
      <c r="B124" t="s">
        <v>15</v>
      </c>
      <c r="C124">
        <v>4.4999999999999998E-2</v>
      </c>
      <c r="D124">
        <v>0.125</v>
      </c>
      <c r="E124">
        <v>349.32339999999999</v>
      </c>
      <c r="F124">
        <v>101325</v>
      </c>
      <c r="G124" t="s">
        <v>5</v>
      </c>
      <c r="H124">
        <v>0.1876457</v>
      </c>
      <c r="I124">
        <f t="shared" si="10"/>
        <v>50.11656</v>
      </c>
      <c r="J124">
        <v>347.37491</v>
      </c>
      <c r="K124">
        <f t="shared" si="9"/>
        <v>0.55778971577626713</v>
      </c>
    </row>
    <row r="125" spans="1:13" x14ac:dyDescent="0.4">
      <c r="A125" t="s">
        <v>14</v>
      </c>
      <c r="B125" t="s">
        <v>15</v>
      </c>
      <c r="C125">
        <v>7.2999999999999995E-2</v>
      </c>
      <c r="D125">
        <v>0.20300000000000001</v>
      </c>
      <c r="E125">
        <v>347.82350000000002</v>
      </c>
      <c r="F125">
        <v>101325</v>
      </c>
      <c r="G125" t="s">
        <v>5</v>
      </c>
      <c r="H125">
        <v>0.27747290000000002</v>
      </c>
      <c r="I125">
        <f t="shared" si="10"/>
        <v>36.686157635467978</v>
      </c>
      <c r="J125">
        <v>345.17822000000001</v>
      </c>
      <c r="K125">
        <f t="shared" si="9"/>
        <v>0.76052365639469832</v>
      </c>
    </row>
    <row r="126" spans="1:13" x14ac:dyDescent="0.4">
      <c r="A126" t="s">
        <v>14</v>
      </c>
      <c r="B126" t="s">
        <v>15</v>
      </c>
      <c r="C126">
        <v>9.7000000000000003E-2</v>
      </c>
      <c r="D126">
        <v>0.253</v>
      </c>
      <c r="E126">
        <v>346.32369999999997</v>
      </c>
      <c r="F126">
        <v>101325</v>
      </c>
      <c r="G126" t="s">
        <v>5</v>
      </c>
      <c r="H126">
        <v>0.34211019999999998</v>
      </c>
      <c r="I126">
        <f t="shared" si="10"/>
        <v>35.221422924901177</v>
      </c>
      <c r="J126">
        <v>343.47996999999998</v>
      </c>
      <c r="K126">
        <f t="shared" si="9"/>
        <v>0.82111908598804928</v>
      </c>
    </row>
    <row r="127" spans="1:13" x14ac:dyDescent="0.4">
      <c r="A127" t="s">
        <v>14</v>
      </c>
      <c r="B127" t="s">
        <v>15</v>
      </c>
      <c r="C127">
        <v>0.129</v>
      </c>
      <c r="D127">
        <v>0.32400000000000001</v>
      </c>
      <c r="E127">
        <v>345.12380000000002</v>
      </c>
      <c r="F127">
        <v>101325</v>
      </c>
      <c r="G127" t="s">
        <v>5</v>
      </c>
      <c r="H127">
        <v>0.4142788</v>
      </c>
      <c r="I127">
        <f t="shared" si="10"/>
        <v>27.863827160493827</v>
      </c>
      <c r="J127">
        <v>341.45039000000003</v>
      </c>
      <c r="K127">
        <f t="shared" si="9"/>
        <v>1.0643745809474714</v>
      </c>
    </row>
    <row r="128" spans="1:13" x14ac:dyDescent="0.4">
      <c r="A128" t="s">
        <v>14</v>
      </c>
      <c r="B128" t="s">
        <v>15</v>
      </c>
      <c r="C128">
        <v>0.13800000000000001</v>
      </c>
      <c r="D128">
        <v>0.33800000000000002</v>
      </c>
      <c r="E128">
        <v>344.32389999999998</v>
      </c>
      <c r="F128">
        <v>101325</v>
      </c>
      <c r="G128" t="s">
        <v>5</v>
      </c>
      <c r="H128">
        <v>0.43216680000000002</v>
      </c>
      <c r="I128">
        <f t="shared" si="10"/>
        <v>27.859999999999996</v>
      </c>
      <c r="J128">
        <v>340.92342000000002</v>
      </c>
      <c r="K128">
        <f t="shared" si="9"/>
        <v>0.98758175078754606</v>
      </c>
    </row>
    <row r="129" spans="1:13" x14ac:dyDescent="0.4">
      <c r="A129" t="s">
        <v>14</v>
      </c>
      <c r="B129" t="s">
        <v>15</v>
      </c>
      <c r="C129">
        <v>0.185</v>
      </c>
      <c r="D129">
        <v>0.42199999999999999</v>
      </c>
      <c r="E129">
        <v>342.72399999999999</v>
      </c>
      <c r="F129">
        <v>101325</v>
      </c>
      <c r="G129" t="s">
        <v>5</v>
      </c>
      <c r="H129">
        <v>0.51195710000000005</v>
      </c>
      <c r="I129">
        <f t="shared" si="10"/>
        <v>21.316848341232244</v>
      </c>
      <c r="J129">
        <v>338.44513999999998</v>
      </c>
      <c r="K129">
        <f t="shared" si="9"/>
        <v>1.2484856619320528</v>
      </c>
    </row>
    <row r="130" spans="1:13" x14ac:dyDescent="0.4">
      <c r="A130" t="s">
        <v>14</v>
      </c>
      <c r="B130" t="s">
        <v>15</v>
      </c>
      <c r="C130">
        <v>0.252</v>
      </c>
      <c r="D130">
        <v>0.52600000000000002</v>
      </c>
      <c r="E130">
        <v>340.12400000000002</v>
      </c>
      <c r="F130">
        <v>101325</v>
      </c>
      <c r="G130" t="s">
        <v>5</v>
      </c>
      <c r="H130">
        <v>0.59647399999999995</v>
      </c>
      <c r="I130">
        <f t="shared" si="10"/>
        <v>13.398098859315574</v>
      </c>
      <c r="J130">
        <v>335.57186999999999</v>
      </c>
      <c r="K130">
        <f t="shared" si="9"/>
        <v>1.3383736519622353</v>
      </c>
    </row>
    <row r="131" spans="1:13" x14ac:dyDescent="0.4">
      <c r="A131" t="s">
        <v>33</v>
      </c>
      <c r="B131" t="s">
        <v>15</v>
      </c>
      <c r="C131">
        <v>0.29599999999999999</v>
      </c>
      <c r="D131">
        <v>0.58099999999999996</v>
      </c>
      <c r="E131">
        <v>339.12400000000002</v>
      </c>
      <c r="F131">
        <v>101325</v>
      </c>
      <c r="G131" t="s">
        <v>5</v>
      </c>
      <c r="H131">
        <v>0.63926439999999995</v>
      </c>
      <c r="I131">
        <f t="shared" si="10"/>
        <v>10.028296041308089</v>
      </c>
      <c r="J131">
        <v>334.01494000000002</v>
      </c>
      <c r="K131">
        <f t="shared" si="9"/>
        <v>1.5065462780575836</v>
      </c>
    </row>
    <row r="132" spans="1:13" x14ac:dyDescent="0.4">
      <c r="A132" t="s">
        <v>14</v>
      </c>
      <c r="B132" t="s">
        <v>15</v>
      </c>
      <c r="C132">
        <v>0.34499999999999997</v>
      </c>
      <c r="D132">
        <v>0.64400000000000002</v>
      </c>
      <c r="E132">
        <v>337.524</v>
      </c>
      <c r="F132">
        <v>101325</v>
      </c>
      <c r="G132" t="s">
        <v>5</v>
      </c>
      <c r="H132">
        <v>0.67875220000000003</v>
      </c>
      <c r="I132">
        <f t="shared" si="10"/>
        <v>5.3963043478260886</v>
      </c>
      <c r="J132">
        <v>332.52091999999999</v>
      </c>
      <c r="K132">
        <f t="shared" si="9"/>
        <v>1.4822886668799882</v>
      </c>
    </row>
    <row r="133" spans="1:13" x14ac:dyDescent="0.4">
      <c r="A133" t="s">
        <v>14</v>
      </c>
      <c r="B133" t="s">
        <v>15</v>
      </c>
      <c r="C133">
        <v>0.39</v>
      </c>
      <c r="D133">
        <v>0.66500000000000004</v>
      </c>
      <c r="E133">
        <v>336.12400000000002</v>
      </c>
      <c r="F133">
        <v>101325</v>
      </c>
      <c r="G133" t="s">
        <v>5</v>
      </c>
      <c r="H133">
        <v>0.70943369999999994</v>
      </c>
      <c r="I133">
        <f t="shared" si="10"/>
        <v>6.6817593984962276</v>
      </c>
      <c r="J133">
        <v>331.32871</v>
      </c>
      <c r="K133">
        <f t="shared" si="9"/>
        <v>1.4266431436017726</v>
      </c>
    </row>
    <row r="134" spans="1:13" x14ac:dyDescent="0.4">
      <c r="A134" t="s">
        <v>14</v>
      </c>
      <c r="B134" t="s">
        <v>15</v>
      </c>
      <c r="C134">
        <v>0.44800000000000001</v>
      </c>
      <c r="D134">
        <v>0.72099999999999997</v>
      </c>
      <c r="E134">
        <v>334.92399999999998</v>
      </c>
      <c r="F134">
        <v>101325</v>
      </c>
      <c r="G134" t="s">
        <v>5</v>
      </c>
      <c r="H134">
        <v>0.7433073</v>
      </c>
      <c r="I134">
        <f t="shared" si="10"/>
        <v>3.0939389736477159</v>
      </c>
      <c r="J134">
        <v>329.99297999999999</v>
      </c>
      <c r="K134">
        <f t="shared" si="9"/>
        <v>1.4722802785109428</v>
      </c>
    </row>
    <row r="135" spans="1:13" x14ac:dyDescent="0.4">
      <c r="A135" t="s">
        <v>14</v>
      </c>
      <c r="B135" t="s">
        <v>34</v>
      </c>
      <c r="C135">
        <v>0.499</v>
      </c>
      <c r="D135">
        <v>0.76400000000000001</v>
      </c>
      <c r="E135">
        <v>333.42399999999998</v>
      </c>
      <c r="F135">
        <v>101325</v>
      </c>
      <c r="G135" t="s">
        <v>5</v>
      </c>
      <c r="H135">
        <v>0.76932909999999999</v>
      </c>
      <c r="I135">
        <f t="shared" si="10"/>
        <v>0.69752617801046801</v>
      </c>
      <c r="J135">
        <v>328.96564999999998</v>
      </c>
      <c r="K135">
        <f t="shared" si="9"/>
        <v>1.3371412975670607</v>
      </c>
    </row>
    <row r="136" spans="1:13" x14ac:dyDescent="0.4">
      <c r="A136" t="s">
        <v>14</v>
      </c>
      <c r="B136" t="s">
        <v>15</v>
      </c>
      <c r="C136">
        <v>0.51500000000000001</v>
      </c>
      <c r="D136">
        <v>0.78900000000000003</v>
      </c>
      <c r="E136">
        <v>332.52420000000001</v>
      </c>
      <c r="F136">
        <v>101325</v>
      </c>
      <c r="G136" t="s">
        <v>5</v>
      </c>
      <c r="H136">
        <v>0.77695219999999998</v>
      </c>
      <c r="I136">
        <f t="shared" si="10"/>
        <v>1.5269708491761791</v>
      </c>
      <c r="J136">
        <v>328.66658999999999</v>
      </c>
      <c r="K136">
        <f t="shared" si="9"/>
        <v>1.1600990243717668</v>
      </c>
    </row>
    <row r="137" spans="1:13" x14ac:dyDescent="0.4">
      <c r="A137" t="s">
        <v>14</v>
      </c>
      <c r="B137" t="s">
        <v>15</v>
      </c>
      <c r="C137">
        <v>0.65</v>
      </c>
      <c r="D137">
        <v>0.86699999999999999</v>
      </c>
      <c r="E137">
        <v>328.92529999999999</v>
      </c>
      <c r="F137">
        <v>101325</v>
      </c>
      <c r="G137" t="s">
        <v>5</v>
      </c>
      <c r="H137">
        <v>0.83518870000000001</v>
      </c>
      <c r="I137">
        <f t="shared" si="10"/>
        <v>3.6691234140715094</v>
      </c>
      <c r="J137">
        <v>326.46625</v>
      </c>
      <c r="K137">
        <f t="shared" si="9"/>
        <v>0.74760135507970682</v>
      </c>
    </row>
    <row r="138" spans="1:13" x14ac:dyDescent="0.4">
      <c r="A138" t="s">
        <v>14</v>
      </c>
      <c r="B138" t="s">
        <v>15</v>
      </c>
      <c r="C138">
        <v>0.84399999999999997</v>
      </c>
      <c r="D138">
        <v>0.94</v>
      </c>
      <c r="E138">
        <v>323.82679999999999</v>
      </c>
      <c r="F138">
        <v>101325</v>
      </c>
      <c r="G138" t="s">
        <v>5</v>
      </c>
      <c r="H138">
        <v>0.91667520000000002</v>
      </c>
      <c r="I138">
        <f t="shared" si="10"/>
        <v>2.4813617021276513</v>
      </c>
      <c r="J138">
        <v>323.90580999999997</v>
      </c>
      <c r="K138">
        <f t="shared" si="9"/>
        <v>2.4398845308659593E-2</v>
      </c>
    </row>
    <row r="139" spans="1:13" x14ac:dyDescent="0.4">
      <c r="A139" t="s">
        <v>14</v>
      </c>
      <c r="B139" t="s">
        <v>15</v>
      </c>
      <c r="C139">
        <v>0.94099999999999995</v>
      </c>
      <c r="D139">
        <v>0.97499999999999998</v>
      </c>
      <c r="E139">
        <v>322.22730000000001</v>
      </c>
      <c r="F139">
        <v>101325</v>
      </c>
      <c r="G139" t="s">
        <v>5</v>
      </c>
      <c r="H139">
        <v>0.9650938</v>
      </c>
      <c r="I139">
        <f t="shared" si="10"/>
        <v>1.0160205128205104</v>
      </c>
      <c r="J139">
        <v>322.77789000000001</v>
      </c>
      <c r="K139">
        <f t="shared" si="9"/>
        <v>0.17087006594413312</v>
      </c>
    </row>
    <row r="140" spans="1:13" x14ac:dyDescent="0.4">
      <c r="A140" t="s">
        <v>14</v>
      </c>
      <c r="B140" t="s">
        <v>15</v>
      </c>
      <c r="C140">
        <v>1</v>
      </c>
      <c r="D140">
        <v>1</v>
      </c>
      <c r="E140">
        <v>321.02760000000001</v>
      </c>
      <c r="F140">
        <v>101325</v>
      </c>
      <c r="G140" t="s">
        <v>5</v>
      </c>
      <c r="H140">
        <v>1</v>
      </c>
      <c r="J140">
        <v>322.14280000000002</v>
      </c>
      <c r="K140">
        <f t="shared" si="9"/>
        <v>0.34738446164753928</v>
      </c>
    </row>
    <row r="141" spans="1:13" x14ac:dyDescent="0.4">
      <c r="A141" t="s">
        <v>16</v>
      </c>
      <c r="B141" t="s">
        <v>29</v>
      </c>
      <c r="C141">
        <v>0</v>
      </c>
      <c r="D141">
        <v>0</v>
      </c>
      <c r="E141">
        <v>273.14999999999998</v>
      </c>
      <c r="F141">
        <v>133000</v>
      </c>
      <c r="G141" t="s">
        <v>4</v>
      </c>
      <c r="H141">
        <v>0</v>
      </c>
      <c r="L141">
        <v>132400.79999999999</v>
      </c>
      <c r="M141">
        <f t="shared" ref="M141:M152" si="11">100*ABS((L141-F141)/F141)</f>
        <v>0.45052631578948243</v>
      </c>
    </row>
    <row r="142" spans="1:13" x14ac:dyDescent="0.4">
      <c r="A142" t="s">
        <v>28</v>
      </c>
      <c r="B142" t="s">
        <v>35</v>
      </c>
      <c r="C142">
        <v>2.98E-2</v>
      </c>
      <c r="D142">
        <v>0.25779999999999997</v>
      </c>
      <c r="E142">
        <v>273.14999999999998</v>
      </c>
      <c r="F142">
        <v>172000</v>
      </c>
      <c r="G142" t="s">
        <v>4</v>
      </c>
      <c r="H142">
        <v>0.2046857</v>
      </c>
      <c r="I142">
        <f t="shared" si="10"/>
        <v>20.602909231962755</v>
      </c>
      <c r="L142">
        <v>161594.6</v>
      </c>
      <c r="M142">
        <f t="shared" si="11"/>
        <v>6.0496511627906946</v>
      </c>
    </row>
    <row r="143" spans="1:13" x14ac:dyDescent="0.4">
      <c r="A143" t="s">
        <v>16</v>
      </c>
      <c r="B143" t="s">
        <v>17</v>
      </c>
      <c r="C143">
        <v>4.5400000000000003E-2</v>
      </c>
      <c r="D143">
        <v>0.34770000000000001</v>
      </c>
      <c r="E143">
        <v>273.14999999999998</v>
      </c>
      <c r="F143">
        <v>194000</v>
      </c>
      <c r="G143" t="s">
        <v>4</v>
      </c>
      <c r="H143">
        <v>0.28141719999999998</v>
      </c>
      <c r="I143">
        <f t="shared" si="10"/>
        <v>19.063215415588157</v>
      </c>
      <c r="L143">
        <v>176089.3</v>
      </c>
      <c r="M143">
        <f t="shared" si="11"/>
        <v>9.2323195876288722</v>
      </c>
    </row>
    <row r="144" spans="1:13" x14ac:dyDescent="0.4">
      <c r="A144" t="s">
        <v>16</v>
      </c>
      <c r="B144" t="s">
        <v>17</v>
      </c>
      <c r="C144">
        <v>8.6999999999999994E-2</v>
      </c>
      <c r="D144">
        <v>0.4415</v>
      </c>
      <c r="E144">
        <v>273.14999999999998</v>
      </c>
      <c r="F144">
        <v>237000</v>
      </c>
      <c r="G144" t="s">
        <v>4</v>
      </c>
      <c r="H144">
        <v>0.42818089999999998</v>
      </c>
      <c r="I144">
        <f t="shared" si="10"/>
        <v>3.0167836919592363</v>
      </c>
      <c r="L144">
        <v>212298.3</v>
      </c>
      <c r="M144">
        <f t="shared" si="11"/>
        <v>10.422658227848105</v>
      </c>
    </row>
    <row r="145" spans="1:13" x14ac:dyDescent="0.4">
      <c r="A145" t="s">
        <v>36</v>
      </c>
      <c r="B145" t="s">
        <v>17</v>
      </c>
      <c r="C145">
        <v>0.15459999999999999</v>
      </c>
      <c r="D145">
        <v>0.57410000000000005</v>
      </c>
      <c r="E145">
        <v>273.14999999999998</v>
      </c>
      <c r="F145">
        <v>294000</v>
      </c>
      <c r="G145" t="s">
        <v>4</v>
      </c>
      <c r="H145">
        <v>0.57083790000000001</v>
      </c>
      <c r="I145">
        <f t="shared" si="10"/>
        <v>0.56821111304651539</v>
      </c>
      <c r="L145">
        <v>264384.09999999998</v>
      </c>
      <c r="M145">
        <f t="shared" si="11"/>
        <v>10.073435374149668</v>
      </c>
    </row>
    <row r="146" spans="1:13" x14ac:dyDescent="0.4">
      <c r="A146" t="s">
        <v>16</v>
      </c>
      <c r="B146" t="s">
        <v>37</v>
      </c>
      <c r="C146">
        <v>0.2185</v>
      </c>
      <c r="D146">
        <v>0.64600000000000002</v>
      </c>
      <c r="E146">
        <v>273.14999999999998</v>
      </c>
      <c r="F146">
        <v>337000</v>
      </c>
      <c r="G146" t="s">
        <v>4</v>
      </c>
      <c r="H146">
        <v>0.6536708</v>
      </c>
      <c r="I146">
        <f t="shared" si="10"/>
        <v>1.1874303405572721</v>
      </c>
      <c r="L146">
        <v>307101.09999999998</v>
      </c>
      <c r="M146">
        <f t="shared" si="11"/>
        <v>8.8720771513353185</v>
      </c>
    </row>
    <row r="147" spans="1:13" x14ac:dyDescent="0.4">
      <c r="A147" t="s">
        <v>16</v>
      </c>
      <c r="B147" t="s">
        <v>17</v>
      </c>
      <c r="C147">
        <v>0.30709999999999998</v>
      </c>
      <c r="D147">
        <v>0.70730000000000004</v>
      </c>
      <c r="E147">
        <v>273.14999999999998</v>
      </c>
      <c r="F147">
        <v>383000</v>
      </c>
      <c r="G147" t="s">
        <v>4</v>
      </c>
      <c r="H147">
        <v>0.72907630000000001</v>
      </c>
      <c r="I147">
        <f t="shared" si="10"/>
        <v>3.0787925915453087</v>
      </c>
      <c r="L147">
        <v>357908.3</v>
      </c>
      <c r="M147">
        <f t="shared" si="11"/>
        <v>6.5513577023498719</v>
      </c>
    </row>
    <row r="148" spans="1:13" x14ac:dyDescent="0.4">
      <c r="A148" t="s">
        <v>16</v>
      </c>
      <c r="B148" t="s">
        <v>17</v>
      </c>
      <c r="C148">
        <v>0.37680000000000002</v>
      </c>
      <c r="D148">
        <v>0.73350000000000004</v>
      </c>
      <c r="E148">
        <v>273.14999999999998</v>
      </c>
      <c r="F148">
        <v>413000</v>
      </c>
      <c r="G148" t="s">
        <v>4</v>
      </c>
      <c r="H148">
        <v>0.77116949999999995</v>
      </c>
      <c r="I148">
        <f t="shared" si="10"/>
        <v>5.1355828220858779</v>
      </c>
      <c r="L148">
        <v>392441.59999999998</v>
      </c>
      <c r="M148">
        <f t="shared" si="11"/>
        <v>4.9778208232445573</v>
      </c>
    </row>
    <row r="149" spans="1:13" x14ac:dyDescent="0.4">
      <c r="A149" t="s">
        <v>16</v>
      </c>
      <c r="B149" t="s">
        <v>17</v>
      </c>
      <c r="C149">
        <v>0.51990000000000003</v>
      </c>
      <c r="D149">
        <v>0.79179999999999995</v>
      </c>
      <c r="E149">
        <v>273.14999999999998</v>
      </c>
      <c r="F149">
        <v>468000</v>
      </c>
      <c r="G149" t="s">
        <v>4</v>
      </c>
      <c r="H149">
        <v>0.83418159999999997</v>
      </c>
      <c r="I149">
        <f t="shared" si="10"/>
        <v>5.352563778732006</v>
      </c>
      <c r="L149">
        <v>452769.5</v>
      </c>
      <c r="M149">
        <f t="shared" si="11"/>
        <v>3.2543803418803421</v>
      </c>
    </row>
    <row r="150" spans="1:13" x14ac:dyDescent="0.4">
      <c r="A150" t="s">
        <v>16</v>
      </c>
      <c r="B150" t="s">
        <v>17</v>
      </c>
      <c r="C150">
        <v>0.68889999999999996</v>
      </c>
      <c r="D150">
        <v>0.85209999999999997</v>
      </c>
      <c r="E150">
        <v>273.14999999999998</v>
      </c>
      <c r="F150">
        <v>525000</v>
      </c>
      <c r="G150" t="s">
        <v>4</v>
      </c>
      <c r="H150">
        <v>0.89124720000000002</v>
      </c>
      <c r="I150">
        <f t="shared" si="10"/>
        <v>4.594202558385172</v>
      </c>
      <c r="L150">
        <v>513334.2</v>
      </c>
      <c r="M150">
        <f t="shared" si="11"/>
        <v>2.2220571428571407</v>
      </c>
    </row>
    <row r="151" spans="1:13" x14ac:dyDescent="0.4">
      <c r="A151" t="s">
        <v>16</v>
      </c>
      <c r="B151" t="s">
        <v>17</v>
      </c>
      <c r="C151">
        <v>0.84399999999999997</v>
      </c>
      <c r="D151">
        <v>0.9254</v>
      </c>
      <c r="E151">
        <v>273.14999999999998</v>
      </c>
      <c r="F151">
        <v>571000</v>
      </c>
      <c r="G151" t="s">
        <v>4</v>
      </c>
      <c r="H151">
        <v>0.94132420000000006</v>
      </c>
      <c r="I151">
        <f t="shared" si="10"/>
        <v>1.7207910092932845</v>
      </c>
      <c r="L151">
        <v>565512.6</v>
      </c>
      <c r="M151">
        <f t="shared" si="11"/>
        <v>0.96101576182137016</v>
      </c>
    </row>
    <row r="152" spans="1:13" x14ac:dyDescent="0.4">
      <c r="A152" t="s">
        <v>16</v>
      </c>
      <c r="B152" t="s">
        <v>17</v>
      </c>
      <c r="C152">
        <v>1</v>
      </c>
      <c r="D152">
        <v>1</v>
      </c>
      <c r="E152">
        <v>273.14999999999998</v>
      </c>
      <c r="F152">
        <v>626000</v>
      </c>
      <c r="G152" t="s">
        <v>4</v>
      </c>
      <c r="H152">
        <v>1</v>
      </c>
      <c r="L152">
        <v>619297.69999999995</v>
      </c>
      <c r="M152">
        <f t="shared" si="11"/>
        <v>1.0706549520766848</v>
      </c>
    </row>
  </sheetData>
  <autoFilter ref="A1:M15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黎叙锐</dc:creator>
  <cp:lastModifiedBy>叙锐 黎</cp:lastModifiedBy>
  <dcterms:created xsi:type="dcterms:W3CDTF">2015-06-05T18:19:34Z</dcterms:created>
  <dcterms:modified xsi:type="dcterms:W3CDTF">2025-09-27T15:35:20Z</dcterms:modified>
</cp:coreProperties>
</file>