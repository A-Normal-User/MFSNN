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MyFile\2025-2026秋\上课\VLE_repair_plan\test\"/>
    </mc:Choice>
  </mc:AlternateContent>
  <xr:revisionPtr revIDLastSave="0" documentId="13_ncr:1_{89AE522E-96B1-4B54-AAE5-6EC73D294814}" xr6:coauthVersionLast="47" xr6:coauthVersionMax="47" xr10:uidLastSave="{00000000-0000-0000-0000-000000000000}"/>
  <bookViews>
    <workbookView xWindow="11438" yWindow="0" windowWidth="11684" windowHeight="13763" xr2:uid="{00000000-000D-0000-FFFF-FFFF00000000}"/>
  </bookViews>
  <sheets>
    <sheet name="Sheet1" sheetId="1" r:id="rId1"/>
  </sheets>
  <definedNames>
    <definedName name="_xlnm._FilterDatabase" localSheetId="0" hidden="1">Sheet1!$A$1:$M$152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2" i="1" l="1"/>
  <c r="I1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41" i="1"/>
  <c r="M142" i="1"/>
  <c r="M143" i="1"/>
  <c r="M144" i="1"/>
  <c r="M145" i="1"/>
  <c r="M146" i="1"/>
  <c r="M147" i="1"/>
  <c r="M148" i="1"/>
  <c r="M149" i="1"/>
  <c r="M150" i="1"/>
  <c r="M15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2" i="1"/>
  <c r="I143" i="1"/>
  <c r="I144" i="1"/>
  <c r="I145" i="1"/>
  <c r="I146" i="1"/>
  <c r="I147" i="1"/>
  <c r="I148" i="1"/>
  <c r="I149" i="1"/>
  <c r="I150" i="1"/>
  <c r="I15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</calcChain>
</file>

<file path=xl/sharedStrings.xml><?xml version="1.0" encoding="utf-8"?>
<sst xmlns="http://schemas.openxmlformats.org/spreadsheetml/2006/main" count="466" uniqueCount="32">
  <si>
    <t>mol1</t>
    <phoneticPr fontId="1" type="noConversion"/>
  </si>
  <si>
    <t>mol2</t>
    <phoneticPr fontId="1" type="noConversion"/>
  </si>
  <si>
    <t>x1</t>
    <phoneticPr fontId="1" type="noConversion"/>
  </si>
  <si>
    <t>y1</t>
    <phoneticPr fontId="1" type="noConversion"/>
  </si>
  <si>
    <t>T</t>
    <phoneticPr fontId="1" type="noConversion"/>
  </si>
  <si>
    <t>P</t>
    <phoneticPr fontId="1" type="noConversion"/>
  </si>
  <si>
    <t>N-HEXANE</t>
  </si>
  <si>
    <t>METHANOL</t>
  </si>
  <si>
    <t>N-HEXANE</t>
    <phoneticPr fontId="1" type="noConversion"/>
  </si>
  <si>
    <t>METHANOL</t>
    <phoneticPr fontId="1" type="noConversion"/>
  </si>
  <si>
    <t>tag</t>
    <phoneticPr fontId="1" type="noConversion"/>
  </si>
  <si>
    <t>1-DECENE</t>
  </si>
  <si>
    <t>METHYL-ACETATE</t>
  </si>
  <si>
    <t>1-CHLOROPENTANE</t>
  </si>
  <si>
    <t>N-PROPIONALDEHYDE</t>
  </si>
  <si>
    <t>ETHANOL</t>
  </si>
  <si>
    <t>1,1,1-TRIFLUOROETHANE</t>
  </si>
  <si>
    <t>ISOBUTYLENE</t>
  </si>
  <si>
    <t>y_pred</t>
    <phoneticPr fontId="1" type="noConversion"/>
  </si>
  <si>
    <t>y_aard</t>
    <phoneticPr fontId="1" type="noConversion"/>
  </si>
  <si>
    <t>T_pred</t>
    <phoneticPr fontId="1" type="noConversion"/>
  </si>
  <si>
    <t>T_aard</t>
    <phoneticPr fontId="1" type="noConversion"/>
  </si>
  <si>
    <t>P_pred</t>
    <phoneticPr fontId="1" type="noConversion"/>
  </si>
  <si>
    <t>P_aard</t>
    <phoneticPr fontId="1" type="noConversion"/>
  </si>
  <si>
    <t>N-HEXANE</t>
    <phoneticPr fontId="1" type="noConversion"/>
  </si>
  <si>
    <t>METHANOL</t>
    <phoneticPr fontId="1" type="noConversion"/>
  </si>
  <si>
    <t>1-DECENE</t>
    <phoneticPr fontId="1" type="noConversion"/>
  </si>
  <si>
    <t>METHYL-ACETATE</t>
    <phoneticPr fontId="1" type="noConversion"/>
  </si>
  <si>
    <t>1-CHLOROPENTANE</t>
    <phoneticPr fontId="1" type="noConversion"/>
  </si>
  <si>
    <t>N-PROPIONALDEHYDE</t>
    <phoneticPr fontId="1" type="noConversion"/>
  </si>
  <si>
    <t>1,1,1-TRIFLUOROETHANE</t>
    <phoneticPr fontId="1" type="noConversion"/>
  </si>
  <si>
    <t>ISOBUTYLENE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</si>
</sst>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2"/>
  <sheetViews>
    <sheetView tabSelected="1" workbookViewId="0">
      <pane ySplit="1" topLeftCell="A151" activePane="bottomLeft" state="frozen"/>
      <selection pane="bottomLeft" activeCell="A153" sqref="A153:XFD179"/>
    </sheetView>
  </sheetViews>
  <sheetFormatPr defaultRowHeight="13.9" x14ac:dyDescent="0.4"/>
  <cols>
    <col min="1" max="1" width="23.265625" bestFit="1" customWidth="1"/>
    <col min="2" max="2" width="19.132812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4">
      <c r="A2" t="s">
        <v>6</v>
      </c>
      <c r="B2" t="s">
        <v>7</v>
      </c>
      <c r="C2">
        <v>0.01</v>
      </c>
      <c r="D2">
        <v>0.11700000000000001</v>
      </c>
      <c r="E2">
        <v>343.53</v>
      </c>
      <c r="F2">
        <v>141300</v>
      </c>
      <c r="G2" t="s">
        <v>5</v>
      </c>
      <c r="H2">
        <v>0.1127628</v>
      </c>
      <c r="I2">
        <f t="shared" ref="I2:I28" si="0">100*ABS((H2-D2)/D2)</f>
        <v>3.6215384615384707</v>
      </c>
      <c r="J2">
        <v>343.39659999999998</v>
      </c>
      <c r="K2">
        <f t="shared" ref="K2:K23" si="1">100*ABS((J2-E2)/E2)</f>
        <v>3.8832125287455138E-2</v>
      </c>
    </row>
    <row r="3" spans="1:13" x14ac:dyDescent="0.4">
      <c r="A3" t="s">
        <v>24</v>
      </c>
      <c r="B3" t="s">
        <v>25</v>
      </c>
      <c r="C3">
        <v>1.9E-2</v>
      </c>
      <c r="D3">
        <v>0.20899999999999999</v>
      </c>
      <c r="E3">
        <v>341.23</v>
      </c>
      <c r="F3">
        <v>141300</v>
      </c>
      <c r="G3" t="s">
        <v>5</v>
      </c>
      <c r="H3">
        <v>0.18897620000000001</v>
      </c>
      <c r="I3">
        <f t="shared" si="0"/>
        <v>9.5807655502392262</v>
      </c>
      <c r="J3">
        <v>341.22012000000001</v>
      </c>
      <c r="K3">
        <f t="shared" si="1"/>
        <v>2.895407789470345E-3</v>
      </c>
    </row>
    <row r="4" spans="1:13" x14ac:dyDescent="0.4">
      <c r="A4" t="s">
        <v>6</v>
      </c>
      <c r="B4" t="s">
        <v>7</v>
      </c>
      <c r="C4">
        <v>3.2000000000000001E-2</v>
      </c>
      <c r="D4">
        <v>0.28199999999999997</v>
      </c>
      <c r="E4">
        <v>338.48</v>
      </c>
      <c r="F4">
        <v>141300</v>
      </c>
      <c r="G4" t="s">
        <v>5</v>
      </c>
      <c r="H4">
        <v>0.27050619999999997</v>
      </c>
      <c r="I4">
        <f t="shared" si="0"/>
        <v>4.0758156028368786</v>
      </c>
      <c r="J4">
        <v>338.72994999999997</v>
      </c>
      <c r="K4">
        <f t="shared" si="1"/>
        <v>7.3844835736219486E-2</v>
      </c>
    </row>
    <row r="5" spans="1:13" x14ac:dyDescent="0.4">
      <c r="A5" t="s">
        <v>6</v>
      </c>
      <c r="B5" t="s">
        <v>7</v>
      </c>
      <c r="C5">
        <v>0.06</v>
      </c>
      <c r="D5">
        <v>0.38800000000000001</v>
      </c>
      <c r="E5">
        <v>334.37</v>
      </c>
      <c r="F5">
        <v>141300</v>
      </c>
      <c r="G5" t="s">
        <v>5</v>
      </c>
      <c r="H5">
        <v>0.3782373</v>
      </c>
      <c r="I5">
        <f t="shared" si="0"/>
        <v>2.516159793814436</v>
      </c>
      <c r="J5">
        <v>335.15159999999997</v>
      </c>
      <c r="K5">
        <f t="shared" si="1"/>
        <v>0.23375302808265364</v>
      </c>
    </row>
    <row r="6" spans="1:13" x14ac:dyDescent="0.4">
      <c r="A6" t="s">
        <v>6</v>
      </c>
      <c r="B6" t="s">
        <v>7</v>
      </c>
      <c r="C6">
        <v>9.0999999999999998E-2</v>
      </c>
      <c r="D6">
        <v>0.43</v>
      </c>
      <c r="E6">
        <v>333.07</v>
      </c>
      <c r="F6">
        <v>141300</v>
      </c>
      <c r="G6" t="s">
        <v>5</v>
      </c>
      <c r="H6">
        <v>0.44152580000000002</v>
      </c>
      <c r="I6">
        <f t="shared" si="0"/>
        <v>2.68041860465117</v>
      </c>
      <c r="J6">
        <v>332.90131000000002</v>
      </c>
      <c r="K6">
        <f t="shared" si="1"/>
        <v>5.0647011138790526E-2</v>
      </c>
    </row>
    <row r="7" spans="1:13" x14ac:dyDescent="0.4">
      <c r="A7" t="s">
        <v>6</v>
      </c>
      <c r="B7" t="s">
        <v>7</v>
      </c>
      <c r="C7">
        <v>0.14499999999999999</v>
      </c>
      <c r="D7">
        <v>0.46400000000000002</v>
      </c>
      <c r="E7">
        <v>332.15</v>
      </c>
      <c r="F7">
        <v>141300</v>
      </c>
      <c r="G7" t="s">
        <v>5</v>
      </c>
      <c r="H7">
        <v>0.4795335</v>
      </c>
      <c r="I7">
        <f t="shared" si="0"/>
        <v>3.3477370689655124</v>
      </c>
      <c r="J7">
        <v>331.51792999999998</v>
      </c>
      <c r="K7">
        <f t="shared" si="1"/>
        <v>0.19029655276230584</v>
      </c>
    </row>
    <row r="8" spans="1:13" x14ac:dyDescent="0.4">
      <c r="A8" t="s">
        <v>8</v>
      </c>
      <c r="B8" t="s">
        <v>7</v>
      </c>
      <c r="C8">
        <v>0.17799999999999999</v>
      </c>
      <c r="D8">
        <v>0.47199999999999998</v>
      </c>
      <c r="E8">
        <v>331.84</v>
      </c>
      <c r="F8">
        <v>141300</v>
      </c>
      <c r="G8" t="s">
        <v>5</v>
      </c>
      <c r="H8">
        <v>0.47953370000000001</v>
      </c>
      <c r="I8">
        <f t="shared" si="0"/>
        <v>1.5961228813559392</v>
      </c>
      <c r="J8">
        <v>331.51792</v>
      </c>
      <c r="K8">
        <f t="shared" si="1"/>
        <v>9.7058823529403121E-2</v>
      </c>
    </row>
    <row r="9" spans="1:13" x14ac:dyDescent="0.4">
      <c r="A9" t="s">
        <v>6</v>
      </c>
      <c r="B9" t="s">
        <v>7</v>
      </c>
      <c r="C9">
        <v>0.224</v>
      </c>
      <c r="D9">
        <v>0.48099999999999998</v>
      </c>
      <c r="E9">
        <v>331.66</v>
      </c>
      <c r="F9">
        <v>141300</v>
      </c>
      <c r="G9" t="s">
        <v>5</v>
      </c>
      <c r="H9">
        <v>0.47953370000000001</v>
      </c>
      <c r="I9">
        <f t="shared" si="0"/>
        <v>0.30484407484406989</v>
      </c>
      <c r="J9">
        <v>331.51792</v>
      </c>
      <c r="K9">
        <f t="shared" si="1"/>
        <v>4.2839052041253482E-2</v>
      </c>
    </row>
    <row r="10" spans="1:13" x14ac:dyDescent="0.4">
      <c r="A10" t="s">
        <v>6</v>
      </c>
      <c r="B10" t="s">
        <v>7</v>
      </c>
      <c r="C10">
        <v>0.25900000000000001</v>
      </c>
      <c r="D10">
        <v>0.48099999999999998</v>
      </c>
      <c r="E10">
        <v>331.59</v>
      </c>
      <c r="F10">
        <v>141300</v>
      </c>
      <c r="G10" t="s">
        <v>5</v>
      </c>
      <c r="H10">
        <v>0.47953370000000001</v>
      </c>
      <c r="I10">
        <f t="shared" si="0"/>
        <v>0.30484407484406989</v>
      </c>
      <c r="J10">
        <v>331.51792</v>
      </c>
      <c r="K10">
        <f t="shared" si="1"/>
        <v>2.1737688108800411E-2</v>
      </c>
    </row>
    <row r="11" spans="1:13" x14ac:dyDescent="0.4">
      <c r="A11" t="s">
        <v>6</v>
      </c>
      <c r="B11" t="s">
        <v>7</v>
      </c>
      <c r="C11">
        <v>0.35</v>
      </c>
      <c r="D11">
        <v>0.48399999999999999</v>
      </c>
      <c r="E11">
        <v>331.53</v>
      </c>
      <c r="F11">
        <v>141300</v>
      </c>
      <c r="G11" t="s">
        <v>5</v>
      </c>
      <c r="H11">
        <v>0.47953370000000001</v>
      </c>
      <c r="I11">
        <f t="shared" si="0"/>
        <v>0.92278925619834262</v>
      </c>
      <c r="J11">
        <v>331.51792</v>
      </c>
      <c r="K11">
        <f t="shared" si="1"/>
        <v>3.6437124845320194E-3</v>
      </c>
    </row>
    <row r="12" spans="1:13" x14ac:dyDescent="0.4">
      <c r="A12" t="s">
        <v>6</v>
      </c>
      <c r="B12" t="s">
        <v>7</v>
      </c>
      <c r="C12">
        <v>0.442</v>
      </c>
      <c r="D12">
        <v>0.48499999999999999</v>
      </c>
      <c r="E12">
        <v>331.52</v>
      </c>
      <c r="F12">
        <v>141300</v>
      </c>
      <c r="G12" t="s">
        <v>5</v>
      </c>
      <c r="H12">
        <v>0.47953370000000001</v>
      </c>
      <c r="I12">
        <f t="shared" si="0"/>
        <v>1.1270721649484494</v>
      </c>
      <c r="J12">
        <v>331.51792</v>
      </c>
      <c r="K12">
        <f t="shared" si="1"/>
        <v>6.2741312740652137E-4</v>
      </c>
    </row>
    <row r="13" spans="1:13" x14ac:dyDescent="0.4">
      <c r="A13" t="s">
        <v>6</v>
      </c>
      <c r="B13" t="s">
        <v>7</v>
      </c>
      <c r="C13">
        <v>0.51900000000000002</v>
      </c>
      <c r="D13">
        <v>0.48699999999999999</v>
      </c>
      <c r="E13">
        <v>331.52</v>
      </c>
      <c r="F13">
        <v>141300</v>
      </c>
      <c r="G13" t="s">
        <v>5</v>
      </c>
      <c r="H13">
        <v>0.47953370000000001</v>
      </c>
      <c r="I13">
        <f t="shared" si="0"/>
        <v>1.5331211498973267</v>
      </c>
      <c r="J13">
        <v>331.51792</v>
      </c>
      <c r="K13">
        <f t="shared" si="1"/>
        <v>6.2741312740652137E-4</v>
      </c>
    </row>
    <row r="14" spans="1:13" x14ac:dyDescent="0.4">
      <c r="A14" t="s">
        <v>6</v>
      </c>
      <c r="B14" t="s">
        <v>7</v>
      </c>
      <c r="C14">
        <v>0.62</v>
      </c>
      <c r="D14">
        <v>0.48899999999999999</v>
      </c>
      <c r="E14">
        <v>331.52</v>
      </c>
      <c r="F14">
        <v>141300</v>
      </c>
      <c r="G14" t="s">
        <v>5</v>
      </c>
      <c r="H14">
        <v>0.47953370000000001</v>
      </c>
      <c r="I14">
        <f t="shared" si="0"/>
        <v>1.9358486707566427</v>
      </c>
      <c r="J14">
        <v>331.51792</v>
      </c>
      <c r="K14">
        <f t="shared" si="1"/>
        <v>6.2741312740652137E-4</v>
      </c>
    </row>
    <row r="15" spans="1:13" x14ac:dyDescent="0.4">
      <c r="A15" t="s">
        <v>6</v>
      </c>
      <c r="B15" t="s">
        <v>7</v>
      </c>
      <c r="C15">
        <v>0.71899999999999997</v>
      </c>
      <c r="D15">
        <v>0.49099999999999999</v>
      </c>
      <c r="E15">
        <v>331.59</v>
      </c>
      <c r="F15">
        <v>141300</v>
      </c>
      <c r="G15" t="s">
        <v>5</v>
      </c>
      <c r="H15">
        <v>0.47953370000000001</v>
      </c>
      <c r="I15">
        <f t="shared" si="0"/>
        <v>2.335295315682278</v>
      </c>
      <c r="J15">
        <v>331.51792</v>
      </c>
      <c r="K15">
        <f t="shared" si="1"/>
        <v>2.1737688108800411E-2</v>
      </c>
    </row>
    <row r="16" spans="1:13" x14ac:dyDescent="0.4">
      <c r="A16" t="s">
        <v>6</v>
      </c>
      <c r="B16" t="s">
        <v>7</v>
      </c>
      <c r="C16">
        <v>0.80900000000000005</v>
      </c>
      <c r="D16">
        <v>0.496</v>
      </c>
      <c r="E16">
        <v>331.83</v>
      </c>
      <c r="F16">
        <v>141300</v>
      </c>
      <c r="G16" t="s">
        <v>5</v>
      </c>
      <c r="H16">
        <v>0.47953370000000001</v>
      </c>
      <c r="I16">
        <f t="shared" si="0"/>
        <v>3.319818548387095</v>
      </c>
      <c r="J16">
        <v>331.51792</v>
      </c>
      <c r="K16">
        <f t="shared" si="1"/>
        <v>9.4048157188916126E-2</v>
      </c>
    </row>
    <row r="17" spans="1:13" x14ac:dyDescent="0.4">
      <c r="A17" t="s">
        <v>6</v>
      </c>
      <c r="B17" t="s">
        <v>9</v>
      </c>
      <c r="C17">
        <v>0.90500000000000003</v>
      </c>
      <c r="D17">
        <v>0.51900000000000002</v>
      </c>
      <c r="E17">
        <v>332.7</v>
      </c>
      <c r="F17">
        <v>141300</v>
      </c>
      <c r="G17" t="s">
        <v>5</v>
      </c>
      <c r="H17">
        <v>0.52759940000000005</v>
      </c>
      <c r="I17">
        <f t="shared" si="0"/>
        <v>1.6569171483622418</v>
      </c>
      <c r="J17">
        <v>333.76796000000002</v>
      </c>
      <c r="K17">
        <f t="shared" si="1"/>
        <v>0.32099789600241291</v>
      </c>
    </row>
    <row r="18" spans="1:13" x14ac:dyDescent="0.4">
      <c r="A18" t="s">
        <v>6</v>
      </c>
      <c r="B18" t="s">
        <v>7</v>
      </c>
      <c r="C18">
        <v>0.95399999999999996</v>
      </c>
      <c r="D18">
        <v>0.54500000000000004</v>
      </c>
      <c r="E18">
        <v>334.24</v>
      </c>
      <c r="F18">
        <v>141300</v>
      </c>
      <c r="G18" t="s">
        <v>5</v>
      </c>
      <c r="H18">
        <v>0.6407427</v>
      </c>
      <c r="I18">
        <f t="shared" si="0"/>
        <v>17.567467889908247</v>
      </c>
      <c r="J18">
        <v>338.99135999999999</v>
      </c>
      <c r="K18">
        <f t="shared" si="1"/>
        <v>1.4215414073719412</v>
      </c>
    </row>
    <row r="19" spans="1:13" x14ac:dyDescent="0.4">
      <c r="A19" t="s">
        <v>6</v>
      </c>
      <c r="B19" t="s">
        <v>7</v>
      </c>
      <c r="C19">
        <v>0.97</v>
      </c>
      <c r="D19">
        <v>0.57099999999999995</v>
      </c>
      <c r="E19">
        <v>335.8</v>
      </c>
      <c r="F19">
        <v>141300</v>
      </c>
      <c r="G19" t="s">
        <v>5</v>
      </c>
      <c r="H19">
        <v>0.71507410000000005</v>
      </c>
      <c r="I19">
        <f t="shared" si="0"/>
        <v>25.23189141856394</v>
      </c>
      <c r="J19">
        <v>342.20312999999999</v>
      </c>
      <c r="K19">
        <f t="shared" si="1"/>
        <v>1.906828469326973</v>
      </c>
    </row>
    <row r="20" spans="1:13" x14ac:dyDescent="0.4">
      <c r="A20" t="s">
        <v>6</v>
      </c>
      <c r="B20" t="s">
        <v>7</v>
      </c>
      <c r="C20">
        <v>0.97499999999999998</v>
      </c>
      <c r="D20">
        <v>0.59899999999999998</v>
      </c>
      <c r="E20">
        <v>337.17</v>
      </c>
      <c r="F20">
        <v>141300</v>
      </c>
      <c r="G20" t="s">
        <v>5</v>
      </c>
      <c r="H20">
        <v>0.74572130000000003</v>
      </c>
      <c r="I20">
        <f t="shared" si="0"/>
        <v>24.494373956594334</v>
      </c>
      <c r="J20">
        <v>343.47352999999998</v>
      </c>
      <c r="K20">
        <f t="shared" si="1"/>
        <v>1.8695405878340203</v>
      </c>
    </row>
    <row r="21" spans="1:13" x14ac:dyDescent="0.4">
      <c r="A21" t="s">
        <v>6</v>
      </c>
      <c r="B21" t="s">
        <v>7</v>
      </c>
      <c r="C21">
        <v>0.98399999999999999</v>
      </c>
      <c r="D21">
        <v>0.66700000000000004</v>
      </c>
      <c r="E21">
        <v>340.21</v>
      </c>
      <c r="F21">
        <v>141300</v>
      </c>
      <c r="G21" t="s">
        <v>5</v>
      </c>
      <c r="H21">
        <v>0.81385059999999998</v>
      </c>
      <c r="I21">
        <f t="shared" si="0"/>
        <v>22.016581709145417</v>
      </c>
      <c r="J21">
        <v>346.19152000000003</v>
      </c>
      <c r="K21">
        <f t="shared" si="1"/>
        <v>1.7581846506569607</v>
      </c>
    </row>
    <row r="22" spans="1:13" x14ac:dyDescent="0.4">
      <c r="A22" t="s">
        <v>6</v>
      </c>
      <c r="B22" t="s">
        <v>7</v>
      </c>
      <c r="C22">
        <v>0.99099999999999999</v>
      </c>
      <c r="D22">
        <v>0.745</v>
      </c>
      <c r="E22">
        <v>343.75</v>
      </c>
      <c r="F22">
        <v>141300</v>
      </c>
      <c r="G22" t="s">
        <v>5</v>
      </c>
      <c r="H22">
        <v>0.882386</v>
      </c>
      <c r="I22">
        <f t="shared" si="0"/>
        <v>18.441073825503356</v>
      </c>
      <c r="J22">
        <v>348.78904</v>
      </c>
      <c r="K22">
        <f t="shared" si="1"/>
        <v>1.4659025454545453</v>
      </c>
    </row>
    <row r="23" spans="1:13" x14ac:dyDescent="0.4">
      <c r="A23" t="s">
        <v>6</v>
      </c>
      <c r="B23" t="s">
        <v>7</v>
      </c>
      <c r="C23">
        <v>0.99399999999999999</v>
      </c>
      <c r="D23">
        <v>0.81899999999999995</v>
      </c>
      <c r="E23">
        <v>346.6</v>
      </c>
      <c r="F23">
        <v>141300</v>
      </c>
      <c r="G23" t="s">
        <v>5</v>
      </c>
      <c r="H23">
        <v>0.91728209999999999</v>
      </c>
      <c r="I23">
        <f t="shared" si="0"/>
        <v>12.000256410256416</v>
      </c>
      <c r="J23">
        <v>350.06335000000001</v>
      </c>
      <c r="K23">
        <f t="shared" si="1"/>
        <v>0.99923542989036085</v>
      </c>
    </row>
    <row r="24" spans="1:13" x14ac:dyDescent="0.4">
      <c r="A24" t="s">
        <v>6</v>
      </c>
      <c r="B24" t="s">
        <v>7</v>
      </c>
      <c r="C24">
        <v>0</v>
      </c>
      <c r="D24">
        <v>0</v>
      </c>
      <c r="E24">
        <v>333.13440000000003</v>
      </c>
      <c r="F24">
        <v>83900</v>
      </c>
      <c r="G24" t="s">
        <v>4</v>
      </c>
      <c r="H24">
        <v>0</v>
      </c>
      <c r="L24">
        <v>84477.83</v>
      </c>
      <c r="M24">
        <f t="shared" ref="M24:M28" si="2">100*ABS((L24-F24)/F24)</f>
        <v>0.68871275327771364</v>
      </c>
    </row>
    <row r="25" spans="1:13" x14ac:dyDescent="0.4">
      <c r="A25" t="s">
        <v>6</v>
      </c>
      <c r="B25" t="s">
        <v>7</v>
      </c>
      <c r="C25">
        <v>0.02</v>
      </c>
      <c r="D25">
        <v>0.23699999999999999</v>
      </c>
      <c r="E25">
        <v>333.13440000000003</v>
      </c>
      <c r="F25">
        <v>110470</v>
      </c>
      <c r="G25" t="s">
        <v>4</v>
      </c>
      <c r="H25">
        <v>0.20945040000000001</v>
      </c>
      <c r="I25">
        <f t="shared" si="0"/>
        <v>11.624303797468347</v>
      </c>
      <c r="L25">
        <v>105196.9</v>
      </c>
      <c r="M25">
        <f t="shared" si="2"/>
        <v>4.773332126369155</v>
      </c>
    </row>
    <row r="26" spans="1:13" x14ac:dyDescent="0.4">
      <c r="A26" t="s">
        <v>6</v>
      </c>
      <c r="B26" t="s">
        <v>7</v>
      </c>
      <c r="C26">
        <v>2.1000000000000001E-2</v>
      </c>
      <c r="D26">
        <v>0.248</v>
      </c>
      <c r="E26">
        <v>333.13440000000003</v>
      </c>
      <c r="F26">
        <v>111480</v>
      </c>
      <c r="G26" t="s">
        <v>4</v>
      </c>
      <c r="H26">
        <v>0.21654799999999999</v>
      </c>
      <c r="I26">
        <f t="shared" si="0"/>
        <v>12.682258064516134</v>
      </c>
      <c r="L26">
        <v>106070.6</v>
      </c>
      <c r="M26">
        <f t="shared" si="2"/>
        <v>4.8523501973448093</v>
      </c>
    </row>
    <row r="27" spans="1:13" x14ac:dyDescent="0.4">
      <c r="A27" t="s">
        <v>6</v>
      </c>
      <c r="B27" t="s">
        <v>7</v>
      </c>
      <c r="C27">
        <v>3.3000000000000002E-2</v>
      </c>
      <c r="D27">
        <v>0.28599999999999998</v>
      </c>
      <c r="E27">
        <v>333.13440000000003</v>
      </c>
      <c r="F27">
        <v>116670</v>
      </c>
      <c r="G27" t="s">
        <v>4</v>
      </c>
      <c r="H27">
        <v>0.28696579999999999</v>
      </c>
      <c r="I27">
        <f t="shared" si="0"/>
        <v>0.33769230769231356</v>
      </c>
      <c r="L27">
        <v>115540.7</v>
      </c>
      <c r="M27">
        <f t="shared" si="2"/>
        <v>0.96794377303505863</v>
      </c>
    </row>
    <row r="28" spans="1:13" x14ac:dyDescent="0.4">
      <c r="A28" t="s">
        <v>6</v>
      </c>
      <c r="B28" t="s">
        <v>7</v>
      </c>
      <c r="C28">
        <v>3.7999999999999999E-2</v>
      </c>
      <c r="D28">
        <v>0.31900000000000001</v>
      </c>
      <c r="E28">
        <v>333.13440000000003</v>
      </c>
      <c r="F28">
        <v>121590</v>
      </c>
      <c r="G28" t="s">
        <v>4</v>
      </c>
      <c r="H28">
        <v>0.30996820000000003</v>
      </c>
      <c r="I28">
        <f t="shared" si="0"/>
        <v>2.8312852664576735</v>
      </c>
      <c r="L28">
        <v>118982.9</v>
      </c>
      <c r="M28">
        <f t="shared" si="2"/>
        <v>2.1441730405461024</v>
      </c>
    </row>
    <row r="29" spans="1:13" x14ac:dyDescent="0.4">
      <c r="A29" t="s">
        <v>6</v>
      </c>
      <c r="B29" t="s">
        <v>7</v>
      </c>
      <c r="C29">
        <v>4.9000000000000002E-2</v>
      </c>
      <c r="D29">
        <v>0.35499999999999998</v>
      </c>
      <c r="E29">
        <v>333.13440000000003</v>
      </c>
      <c r="F29">
        <v>126470</v>
      </c>
      <c r="G29" t="s">
        <v>4</v>
      </c>
      <c r="H29">
        <v>0.35127710000000001</v>
      </c>
      <c r="I29">
        <f t="shared" ref="I29:I92" si="3">100*ABS((H29-D29)/D29)</f>
        <v>1.0487042253521053</v>
      </c>
      <c r="L29">
        <v>125653.2</v>
      </c>
      <c r="M29">
        <f t="shared" ref="M29:M53" si="4">100*ABS((L29-F29)/F29)</f>
        <v>0.64584486439472044</v>
      </c>
    </row>
    <row r="30" spans="1:13" x14ac:dyDescent="0.4">
      <c r="A30" t="s">
        <v>6</v>
      </c>
      <c r="B30" t="s">
        <v>7</v>
      </c>
      <c r="C30">
        <v>6.2E-2</v>
      </c>
      <c r="D30">
        <v>0.38400000000000001</v>
      </c>
      <c r="E30">
        <v>333.13440000000003</v>
      </c>
      <c r="F30">
        <v>131600</v>
      </c>
      <c r="G30" t="s">
        <v>4</v>
      </c>
      <c r="H30">
        <v>0.38800889999999999</v>
      </c>
      <c r="I30">
        <f t="shared" si="3"/>
        <v>1.0439843749999953</v>
      </c>
      <c r="L30">
        <v>132155.20000000001</v>
      </c>
      <c r="M30">
        <f t="shared" si="4"/>
        <v>0.421884498480252</v>
      </c>
    </row>
    <row r="31" spans="1:13" x14ac:dyDescent="0.4">
      <c r="A31" t="s">
        <v>6</v>
      </c>
      <c r="B31" t="s">
        <v>7</v>
      </c>
      <c r="C31">
        <v>8.1000000000000003E-2</v>
      </c>
      <c r="D31">
        <v>0.42599999999999999</v>
      </c>
      <c r="E31">
        <v>333.13440000000003</v>
      </c>
      <c r="F31">
        <v>138500</v>
      </c>
      <c r="G31" t="s">
        <v>4</v>
      </c>
      <c r="H31">
        <v>0.42608030000000002</v>
      </c>
      <c r="I31">
        <f t="shared" si="3"/>
        <v>1.8849765258223738E-2</v>
      </c>
      <c r="L31">
        <v>139491.9</v>
      </c>
      <c r="M31">
        <f t="shared" si="4"/>
        <v>0.71617328519855172</v>
      </c>
    </row>
    <row r="32" spans="1:13" x14ac:dyDescent="0.4">
      <c r="A32" t="s">
        <v>6</v>
      </c>
      <c r="B32" t="s">
        <v>7</v>
      </c>
      <c r="C32">
        <v>9.8000000000000004E-2</v>
      </c>
      <c r="D32">
        <v>0.439</v>
      </c>
      <c r="E32">
        <v>333.13440000000003</v>
      </c>
      <c r="F32">
        <v>141760</v>
      </c>
      <c r="G32" t="s">
        <v>4</v>
      </c>
      <c r="H32">
        <v>0.44977840000000002</v>
      </c>
      <c r="I32">
        <f t="shared" si="3"/>
        <v>2.4552164009111666</v>
      </c>
      <c r="L32">
        <v>144353.4</v>
      </c>
      <c r="M32">
        <f t="shared" si="4"/>
        <v>1.8294300225733595</v>
      </c>
    </row>
    <row r="33" spans="1:13" x14ac:dyDescent="0.4">
      <c r="A33" t="s">
        <v>6</v>
      </c>
      <c r="B33" t="s">
        <v>7</v>
      </c>
      <c r="C33">
        <v>0.11700000000000001</v>
      </c>
      <c r="D33">
        <v>0.45700000000000002</v>
      </c>
      <c r="E33">
        <v>333.13440000000003</v>
      </c>
      <c r="F33">
        <v>144240</v>
      </c>
      <c r="G33" t="s">
        <v>4</v>
      </c>
      <c r="H33">
        <v>0.46861360000000002</v>
      </c>
      <c r="I33">
        <f t="shared" si="3"/>
        <v>2.541269146608315</v>
      </c>
      <c r="L33">
        <v>148345.20000000001</v>
      </c>
      <c r="M33">
        <f t="shared" si="4"/>
        <v>2.8460898502495922</v>
      </c>
    </row>
    <row r="34" spans="1:13" x14ac:dyDescent="0.4">
      <c r="A34" t="s">
        <v>6</v>
      </c>
      <c r="B34" t="s">
        <v>7</v>
      </c>
      <c r="C34">
        <v>0.123</v>
      </c>
      <c r="D34">
        <v>0.46</v>
      </c>
      <c r="E34">
        <v>333.13440000000003</v>
      </c>
      <c r="F34">
        <v>145030</v>
      </c>
      <c r="G34" t="s">
        <v>4</v>
      </c>
      <c r="H34">
        <v>0.47330670000000002</v>
      </c>
      <c r="I34">
        <f t="shared" si="3"/>
        <v>2.8927608695652181</v>
      </c>
      <c r="L34">
        <v>149350.70000000001</v>
      </c>
      <c r="M34">
        <f t="shared" si="4"/>
        <v>2.9791767220575136</v>
      </c>
    </row>
    <row r="35" spans="1:13" x14ac:dyDescent="0.4">
      <c r="A35" t="s">
        <v>6</v>
      </c>
      <c r="B35" t="s">
        <v>7</v>
      </c>
      <c r="C35">
        <v>0.17199999999999999</v>
      </c>
      <c r="D35">
        <v>0.46700000000000003</v>
      </c>
      <c r="E35">
        <v>333.13440000000003</v>
      </c>
      <c r="F35">
        <v>147760</v>
      </c>
      <c r="G35" t="s">
        <v>4</v>
      </c>
      <c r="H35">
        <v>0.47654360000000001</v>
      </c>
      <c r="I35">
        <f t="shared" si="3"/>
        <v>2.0435974304068494</v>
      </c>
      <c r="L35">
        <v>150045</v>
      </c>
      <c r="M35">
        <f t="shared" si="4"/>
        <v>1.5464266377910123</v>
      </c>
    </row>
    <row r="36" spans="1:13" x14ac:dyDescent="0.4">
      <c r="A36" t="s">
        <v>6</v>
      </c>
      <c r="B36" t="s">
        <v>7</v>
      </c>
      <c r="C36">
        <v>0.21</v>
      </c>
      <c r="D36">
        <v>0.47599999999999998</v>
      </c>
      <c r="E36">
        <v>333.13440000000003</v>
      </c>
      <c r="F36">
        <v>148960</v>
      </c>
      <c r="G36" t="s">
        <v>4</v>
      </c>
      <c r="H36">
        <v>0.47654360000000001</v>
      </c>
      <c r="I36">
        <f t="shared" si="3"/>
        <v>0.11420168067227583</v>
      </c>
      <c r="L36">
        <v>150045</v>
      </c>
      <c r="M36">
        <f t="shared" si="4"/>
        <v>0.72838345864661647</v>
      </c>
    </row>
    <row r="37" spans="1:13" x14ac:dyDescent="0.4">
      <c r="A37" t="s">
        <v>6</v>
      </c>
      <c r="B37" t="s">
        <v>7</v>
      </c>
      <c r="C37">
        <v>0.26700000000000002</v>
      </c>
      <c r="D37">
        <v>0.47699999999999998</v>
      </c>
      <c r="E37">
        <v>333.13440000000003</v>
      </c>
      <c r="F37">
        <v>149250</v>
      </c>
      <c r="G37" t="s">
        <v>4</v>
      </c>
      <c r="H37">
        <v>0.47654360000000001</v>
      </c>
      <c r="I37">
        <f t="shared" si="3"/>
        <v>9.5681341719070861E-2</v>
      </c>
      <c r="L37">
        <v>150045</v>
      </c>
      <c r="M37">
        <f t="shared" si="4"/>
        <v>0.53266331658291455</v>
      </c>
    </row>
    <row r="38" spans="1:13" x14ac:dyDescent="0.4">
      <c r="A38" t="s">
        <v>6</v>
      </c>
      <c r="B38" t="s">
        <v>7</v>
      </c>
      <c r="C38">
        <v>0.34300000000000003</v>
      </c>
      <c r="D38">
        <v>0.47799999999999998</v>
      </c>
      <c r="E38">
        <v>333.13440000000003</v>
      </c>
      <c r="F38">
        <v>149310</v>
      </c>
      <c r="G38" t="s">
        <v>4</v>
      </c>
      <c r="H38">
        <v>0.47654360000000001</v>
      </c>
      <c r="I38">
        <f t="shared" si="3"/>
        <v>0.30468619246861273</v>
      </c>
      <c r="L38">
        <v>150045</v>
      </c>
      <c r="M38">
        <f t="shared" si="4"/>
        <v>0.49226441631504925</v>
      </c>
    </row>
    <row r="39" spans="1:13" x14ac:dyDescent="0.4">
      <c r="A39" t="s">
        <v>6</v>
      </c>
      <c r="B39" t="s">
        <v>7</v>
      </c>
      <c r="C39">
        <v>0.38700000000000001</v>
      </c>
      <c r="D39">
        <v>0.47899999999999998</v>
      </c>
      <c r="E39">
        <v>333.13440000000003</v>
      </c>
      <c r="F39">
        <v>149390</v>
      </c>
      <c r="G39" t="s">
        <v>4</v>
      </c>
      <c r="H39">
        <v>0.47654360000000001</v>
      </c>
      <c r="I39">
        <f t="shared" si="3"/>
        <v>0.51281837160750943</v>
      </c>
      <c r="L39">
        <v>150045</v>
      </c>
      <c r="M39">
        <f t="shared" si="4"/>
        <v>0.43844969542807422</v>
      </c>
    </row>
    <row r="40" spans="1:13" x14ac:dyDescent="0.4">
      <c r="A40" t="s">
        <v>6</v>
      </c>
      <c r="B40" t="s">
        <v>7</v>
      </c>
      <c r="C40">
        <v>0.43</v>
      </c>
      <c r="D40">
        <v>0.48</v>
      </c>
      <c r="E40">
        <v>333.13440000000003</v>
      </c>
      <c r="F40">
        <v>149490</v>
      </c>
      <c r="G40" t="s">
        <v>4</v>
      </c>
      <c r="H40">
        <v>0.47654360000000001</v>
      </c>
      <c r="I40">
        <f t="shared" si="3"/>
        <v>0.7200833333333273</v>
      </c>
      <c r="L40">
        <v>150045</v>
      </c>
      <c r="M40">
        <f t="shared" si="4"/>
        <v>0.37126229179209314</v>
      </c>
    </row>
    <row r="41" spans="1:13" x14ac:dyDescent="0.4">
      <c r="A41" t="s">
        <v>6</v>
      </c>
      <c r="B41" t="s">
        <v>7</v>
      </c>
      <c r="C41">
        <v>0.47799999999999998</v>
      </c>
      <c r="D41">
        <v>0.48299999999999998</v>
      </c>
      <c r="E41">
        <v>333.13440000000003</v>
      </c>
      <c r="F41">
        <v>149640</v>
      </c>
      <c r="G41" t="s">
        <v>4</v>
      </c>
      <c r="H41">
        <v>0.47654360000000001</v>
      </c>
      <c r="I41">
        <f t="shared" si="3"/>
        <v>1.3367287784679034</v>
      </c>
      <c r="L41">
        <v>150045</v>
      </c>
      <c r="M41">
        <f t="shared" si="4"/>
        <v>0.27064955894145948</v>
      </c>
    </row>
    <row r="42" spans="1:13" x14ac:dyDescent="0.4">
      <c r="A42" t="s">
        <v>6</v>
      </c>
      <c r="B42" t="s">
        <v>7</v>
      </c>
      <c r="C42">
        <v>0.52100000000000002</v>
      </c>
      <c r="D42">
        <v>0.48399999999999999</v>
      </c>
      <c r="E42">
        <v>333.13440000000003</v>
      </c>
      <c r="F42">
        <v>149560</v>
      </c>
      <c r="G42" t="s">
        <v>4</v>
      </c>
      <c r="H42">
        <v>0.47654360000000001</v>
      </c>
      <c r="I42">
        <f t="shared" si="3"/>
        <v>1.5405785123966889</v>
      </c>
      <c r="L42">
        <v>150045</v>
      </c>
      <c r="M42">
        <f t="shared" si="4"/>
        <v>0.32428456806632788</v>
      </c>
    </row>
    <row r="43" spans="1:13" x14ac:dyDescent="0.4">
      <c r="A43" t="s">
        <v>6</v>
      </c>
      <c r="B43" t="s">
        <v>7</v>
      </c>
      <c r="C43">
        <v>0.60099999999999998</v>
      </c>
      <c r="D43">
        <v>0.48799999999999999</v>
      </c>
      <c r="E43">
        <v>333.13440000000003</v>
      </c>
      <c r="F43">
        <v>149350</v>
      </c>
      <c r="G43" t="s">
        <v>4</v>
      </c>
      <c r="H43">
        <v>0.47654360000000001</v>
      </c>
      <c r="I43">
        <f t="shared" si="3"/>
        <v>2.3476229508196678</v>
      </c>
      <c r="L43">
        <v>150045</v>
      </c>
      <c r="M43">
        <f t="shared" si="4"/>
        <v>0.46534984934717105</v>
      </c>
    </row>
    <row r="44" spans="1:13" x14ac:dyDescent="0.4">
      <c r="A44" t="s">
        <v>6</v>
      </c>
      <c r="B44" t="s">
        <v>7</v>
      </c>
      <c r="C44">
        <v>0.78200000000000003</v>
      </c>
      <c r="D44">
        <v>0.501</v>
      </c>
      <c r="E44">
        <v>333.13440000000003</v>
      </c>
      <c r="F44">
        <v>148990</v>
      </c>
      <c r="G44" t="s">
        <v>4</v>
      </c>
      <c r="H44">
        <v>0.47654360000000001</v>
      </c>
      <c r="I44">
        <f t="shared" si="3"/>
        <v>4.8815169660678626</v>
      </c>
      <c r="L44">
        <v>150045</v>
      </c>
      <c r="M44">
        <f t="shared" si="4"/>
        <v>0.70810121484663402</v>
      </c>
    </row>
    <row r="45" spans="1:13" x14ac:dyDescent="0.4">
      <c r="A45" t="s">
        <v>6</v>
      </c>
      <c r="B45" t="s">
        <v>7</v>
      </c>
      <c r="C45">
        <v>0.82499999999999996</v>
      </c>
      <c r="D45">
        <v>0.504</v>
      </c>
      <c r="E45">
        <v>333.13440000000003</v>
      </c>
      <c r="F45">
        <v>148310</v>
      </c>
      <c r="G45" t="s">
        <v>4</v>
      </c>
      <c r="H45">
        <v>0.47654360000000001</v>
      </c>
      <c r="I45">
        <f t="shared" si="3"/>
        <v>5.4476984126984114</v>
      </c>
      <c r="L45">
        <v>150045</v>
      </c>
      <c r="M45">
        <f t="shared" si="4"/>
        <v>1.1698469422156295</v>
      </c>
    </row>
    <row r="46" spans="1:13" x14ac:dyDescent="0.4">
      <c r="A46" t="s">
        <v>6</v>
      </c>
      <c r="B46" t="s">
        <v>7</v>
      </c>
      <c r="C46">
        <v>0.85499999999999998</v>
      </c>
      <c r="D46">
        <v>0.51200000000000001</v>
      </c>
      <c r="E46">
        <v>333.13440000000003</v>
      </c>
      <c r="F46">
        <v>147150</v>
      </c>
      <c r="G46" t="s">
        <v>4</v>
      </c>
      <c r="H46">
        <v>0.48100619999999999</v>
      </c>
      <c r="I46">
        <f t="shared" si="3"/>
        <v>6.0534765625000029</v>
      </c>
      <c r="L46">
        <v>148996.1</v>
      </c>
      <c r="M46">
        <f t="shared" si="4"/>
        <v>1.2545701664967759</v>
      </c>
    </row>
    <row r="47" spans="1:13" x14ac:dyDescent="0.4">
      <c r="A47" t="s">
        <v>6</v>
      </c>
      <c r="B47" t="s">
        <v>7</v>
      </c>
      <c r="C47">
        <v>0.90200000000000002</v>
      </c>
      <c r="D47">
        <v>0.51800000000000002</v>
      </c>
      <c r="E47">
        <v>333.13440000000003</v>
      </c>
      <c r="F47">
        <v>145110</v>
      </c>
      <c r="G47" t="s">
        <v>4</v>
      </c>
      <c r="H47">
        <v>0.5237986</v>
      </c>
      <c r="I47">
        <f t="shared" si="3"/>
        <v>1.1194208494208469</v>
      </c>
      <c r="L47">
        <v>139151.5</v>
      </c>
      <c r="M47">
        <f t="shared" si="4"/>
        <v>4.1061953001171529</v>
      </c>
    </row>
    <row r="48" spans="1:13" x14ac:dyDescent="0.4">
      <c r="A48" t="s">
        <v>6</v>
      </c>
      <c r="B48" t="s">
        <v>7</v>
      </c>
      <c r="C48">
        <v>0.92100000000000004</v>
      </c>
      <c r="D48">
        <v>0.52800000000000002</v>
      </c>
      <c r="E48">
        <v>333.13440000000003</v>
      </c>
      <c r="F48">
        <v>143470</v>
      </c>
      <c r="G48" t="s">
        <v>4</v>
      </c>
      <c r="H48">
        <v>0.55350120000000003</v>
      </c>
      <c r="I48">
        <f t="shared" si="3"/>
        <v>4.8297727272727276</v>
      </c>
      <c r="L48">
        <v>132772.6</v>
      </c>
      <c r="M48">
        <f t="shared" si="4"/>
        <v>7.4561929323203424</v>
      </c>
    </row>
    <row r="49" spans="1:13" x14ac:dyDescent="0.4">
      <c r="A49" t="s">
        <v>6</v>
      </c>
      <c r="B49" t="s">
        <v>7</v>
      </c>
      <c r="C49">
        <v>0.94</v>
      </c>
      <c r="D49">
        <v>0.53700000000000003</v>
      </c>
      <c r="E49">
        <v>333.13440000000003</v>
      </c>
      <c r="F49">
        <v>141870</v>
      </c>
      <c r="G49" t="s">
        <v>4</v>
      </c>
      <c r="H49">
        <v>0.59614230000000001</v>
      </c>
      <c r="I49">
        <f t="shared" si="3"/>
        <v>11.013463687150834</v>
      </c>
      <c r="L49">
        <v>124385.4</v>
      </c>
      <c r="M49">
        <f t="shared" si="4"/>
        <v>12.324381475999157</v>
      </c>
    </row>
    <row r="50" spans="1:13" x14ac:dyDescent="0.4">
      <c r="A50" t="s">
        <v>6</v>
      </c>
      <c r="B50" t="s">
        <v>7</v>
      </c>
      <c r="C50">
        <v>0.96699999999999997</v>
      </c>
      <c r="D50">
        <v>0.56200000000000006</v>
      </c>
      <c r="E50">
        <v>333.13440000000003</v>
      </c>
      <c r="F50">
        <v>138000</v>
      </c>
      <c r="G50" t="s">
        <v>4</v>
      </c>
      <c r="H50">
        <v>0.69752740000000002</v>
      </c>
      <c r="I50">
        <f t="shared" si="3"/>
        <v>24.115195729537358</v>
      </c>
      <c r="L50">
        <v>107776.7</v>
      </c>
      <c r="M50">
        <f t="shared" si="4"/>
        <v>21.900942028985508</v>
      </c>
    </row>
    <row r="51" spans="1:13" x14ac:dyDescent="0.4">
      <c r="A51" t="s">
        <v>6</v>
      </c>
      <c r="B51" t="s">
        <v>7</v>
      </c>
      <c r="C51">
        <v>0.98399999999999999</v>
      </c>
      <c r="D51">
        <v>0.59299999999999997</v>
      </c>
      <c r="E51">
        <v>333.13440000000003</v>
      </c>
      <c r="F51">
        <v>130870</v>
      </c>
      <c r="G51" t="s">
        <v>4</v>
      </c>
      <c r="H51">
        <v>0.81120970000000003</v>
      </c>
      <c r="I51">
        <f t="shared" si="3"/>
        <v>36.797588532883658</v>
      </c>
      <c r="L51">
        <v>93507.79</v>
      </c>
      <c r="M51">
        <f t="shared" si="4"/>
        <v>28.549102162451291</v>
      </c>
    </row>
    <row r="52" spans="1:13" x14ac:dyDescent="0.4">
      <c r="A52" t="s">
        <v>6</v>
      </c>
      <c r="B52" t="s">
        <v>7</v>
      </c>
      <c r="C52">
        <v>0.995</v>
      </c>
      <c r="D52">
        <v>0.71499999999999997</v>
      </c>
      <c r="E52">
        <v>333.13440000000003</v>
      </c>
      <c r="F52">
        <v>107480</v>
      </c>
      <c r="G52" t="s">
        <v>4</v>
      </c>
      <c r="H52">
        <v>0.9277417</v>
      </c>
      <c r="I52">
        <f t="shared" si="3"/>
        <v>29.754083916083925</v>
      </c>
      <c r="L52">
        <v>82232.89</v>
      </c>
      <c r="M52">
        <f t="shared" si="4"/>
        <v>23.490053963528098</v>
      </c>
    </row>
    <row r="53" spans="1:13" x14ac:dyDescent="0.4">
      <c r="A53" t="s">
        <v>6</v>
      </c>
      <c r="B53" t="s">
        <v>7</v>
      </c>
      <c r="C53">
        <v>1</v>
      </c>
      <c r="D53">
        <v>1</v>
      </c>
      <c r="E53">
        <v>333.13440000000003</v>
      </c>
      <c r="F53">
        <v>76050</v>
      </c>
      <c r="G53" t="s">
        <v>4</v>
      </c>
      <c r="H53">
        <v>1</v>
      </c>
      <c r="L53">
        <v>76484.350000000006</v>
      </c>
      <c r="M53">
        <f t="shared" si="4"/>
        <v>0.57113740959895576</v>
      </c>
    </row>
    <row r="54" spans="1:13" x14ac:dyDescent="0.4">
      <c r="A54" t="s">
        <v>6</v>
      </c>
      <c r="B54" t="s">
        <v>11</v>
      </c>
      <c r="C54">
        <v>0</v>
      </c>
      <c r="D54">
        <v>0</v>
      </c>
      <c r="E54">
        <v>443.8</v>
      </c>
      <c r="F54">
        <v>101330</v>
      </c>
      <c r="G54" t="s">
        <v>5</v>
      </c>
      <c r="H54">
        <v>0</v>
      </c>
      <c r="J54">
        <v>443.74259999999998</v>
      </c>
      <c r="K54">
        <f t="shared" ref="K54:K92" si="5">100*ABS((J54-E54)/E54)</f>
        <v>1.2933753943224347E-2</v>
      </c>
    </row>
    <row r="55" spans="1:13" x14ac:dyDescent="0.4">
      <c r="A55" t="s">
        <v>6</v>
      </c>
      <c r="B55" t="s">
        <v>11</v>
      </c>
      <c r="C55">
        <v>1.52E-2</v>
      </c>
      <c r="D55">
        <v>0.13170000000000001</v>
      </c>
      <c r="E55">
        <v>438.51</v>
      </c>
      <c r="F55">
        <v>101330</v>
      </c>
      <c r="G55" t="s">
        <v>5</v>
      </c>
      <c r="H55">
        <v>0.1154811</v>
      </c>
      <c r="I55">
        <f t="shared" si="3"/>
        <v>12.315034168564926</v>
      </c>
      <c r="J55">
        <v>439.40249999999997</v>
      </c>
      <c r="K55">
        <f t="shared" si="5"/>
        <v>0.20353013614284374</v>
      </c>
    </row>
    <row r="56" spans="1:13" x14ac:dyDescent="0.4">
      <c r="A56" t="s">
        <v>6</v>
      </c>
      <c r="B56" t="s">
        <v>11</v>
      </c>
      <c r="C56">
        <v>4.1700000000000001E-2</v>
      </c>
      <c r="D56">
        <v>0.33460000000000001</v>
      </c>
      <c r="E56">
        <v>429.68</v>
      </c>
      <c r="F56">
        <v>101330</v>
      </c>
      <c r="G56" t="s">
        <v>5</v>
      </c>
      <c r="H56">
        <v>0.2849795</v>
      </c>
      <c r="I56">
        <f t="shared" si="3"/>
        <v>14.829796772265395</v>
      </c>
      <c r="J56">
        <v>432.18180000000001</v>
      </c>
      <c r="K56">
        <f t="shared" si="5"/>
        <v>0.58224725377024833</v>
      </c>
    </row>
    <row r="57" spans="1:13" x14ac:dyDescent="0.4">
      <c r="A57" t="s">
        <v>6</v>
      </c>
      <c r="B57" t="s">
        <v>11</v>
      </c>
      <c r="C57">
        <v>6.4399999999999999E-2</v>
      </c>
      <c r="D57">
        <v>0.46029999999999999</v>
      </c>
      <c r="E57">
        <v>423.04</v>
      </c>
      <c r="F57">
        <v>101330</v>
      </c>
      <c r="G57" t="s">
        <v>5</v>
      </c>
      <c r="H57">
        <v>0.40240500000000001</v>
      </c>
      <c r="I57">
        <f t="shared" si="3"/>
        <v>12.577666739083201</v>
      </c>
      <c r="J57">
        <v>426.37639999999999</v>
      </c>
      <c r="K57">
        <f t="shared" si="5"/>
        <v>0.78867246596065843</v>
      </c>
    </row>
    <row r="58" spans="1:13" x14ac:dyDescent="0.4">
      <c r="A58" t="s">
        <v>6</v>
      </c>
      <c r="B58" t="s">
        <v>26</v>
      </c>
      <c r="C58">
        <v>8.3000000000000004E-2</v>
      </c>
      <c r="D58">
        <v>0.54020000000000001</v>
      </c>
      <c r="E58">
        <v>418.14</v>
      </c>
      <c r="F58">
        <v>101330</v>
      </c>
      <c r="G58" t="s">
        <v>5</v>
      </c>
      <c r="H58">
        <v>0.48263</v>
      </c>
      <c r="I58">
        <f t="shared" si="3"/>
        <v>10.6571640133284</v>
      </c>
      <c r="J58">
        <v>421.89069999999998</v>
      </c>
      <c r="K58">
        <f t="shared" si="5"/>
        <v>0.89699622136126533</v>
      </c>
    </row>
    <row r="59" spans="1:13" x14ac:dyDescent="0.4">
      <c r="A59" t="s">
        <v>6</v>
      </c>
      <c r="B59" t="s">
        <v>11</v>
      </c>
      <c r="C59">
        <v>0.1091</v>
      </c>
      <c r="D59">
        <v>0.62780000000000002</v>
      </c>
      <c r="E59">
        <v>411.95</v>
      </c>
      <c r="F59">
        <v>101330</v>
      </c>
      <c r="G59" t="s">
        <v>5</v>
      </c>
      <c r="H59">
        <v>0.57516959999999995</v>
      </c>
      <c r="I59">
        <f t="shared" si="3"/>
        <v>8.3833067856005226</v>
      </c>
      <c r="J59">
        <v>416.0068</v>
      </c>
      <c r="K59">
        <f t="shared" si="5"/>
        <v>0.98477970627503575</v>
      </c>
    </row>
    <row r="60" spans="1:13" x14ac:dyDescent="0.4">
      <c r="A60" t="s">
        <v>6</v>
      </c>
      <c r="B60" t="s">
        <v>11</v>
      </c>
      <c r="C60">
        <v>0.14760000000000001</v>
      </c>
      <c r="D60">
        <v>0.72030000000000005</v>
      </c>
      <c r="E60">
        <v>404.04</v>
      </c>
      <c r="F60">
        <v>101330</v>
      </c>
      <c r="G60" t="s">
        <v>5</v>
      </c>
      <c r="H60">
        <v>0.67838169999999998</v>
      </c>
      <c r="I60">
        <f t="shared" si="3"/>
        <v>5.8195612939053269</v>
      </c>
      <c r="J60">
        <v>408.16550000000001</v>
      </c>
      <c r="K60">
        <f t="shared" si="5"/>
        <v>1.0210622710622681</v>
      </c>
    </row>
    <row r="61" spans="1:13" x14ac:dyDescent="0.4">
      <c r="A61" t="s">
        <v>6</v>
      </c>
      <c r="B61" t="s">
        <v>11</v>
      </c>
      <c r="C61">
        <v>0.17949999999999999</v>
      </c>
      <c r="D61">
        <v>0.77510000000000001</v>
      </c>
      <c r="E61">
        <v>398.37</v>
      </c>
      <c r="F61">
        <v>101330</v>
      </c>
      <c r="G61" t="s">
        <v>5</v>
      </c>
      <c r="H61">
        <v>0.7416604</v>
      </c>
      <c r="I61">
        <f t="shared" si="3"/>
        <v>4.3142304218810494</v>
      </c>
      <c r="J61">
        <v>402.36399999999998</v>
      </c>
      <c r="K61">
        <f t="shared" si="5"/>
        <v>1.0025855360594349</v>
      </c>
    </row>
    <row r="62" spans="1:13" x14ac:dyDescent="0.4">
      <c r="A62" t="s">
        <v>6</v>
      </c>
      <c r="B62" t="s">
        <v>11</v>
      </c>
      <c r="C62">
        <v>0.21729999999999999</v>
      </c>
      <c r="D62">
        <v>0.82299999999999995</v>
      </c>
      <c r="E62">
        <v>392.5</v>
      </c>
      <c r="F62">
        <v>101330</v>
      </c>
      <c r="G62" t="s">
        <v>5</v>
      </c>
      <c r="H62">
        <v>0.79812380000000005</v>
      </c>
      <c r="I62">
        <f t="shared" si="3"/>
        <v>3.0226245443499278</v>
      </c>
      <c r="J62">
        <v>396.21129999999999</v>
      </c>
      <c r="K62">
        <f t="shared" si="5"/>
        <v>0.94555414012738714</v>
      </c>
    </row>
    <row r="63" spans="1:13" x14ac:dyDescent="0.4">
      <c r="A63" t="s">
        <v>6</v>
      </c>
      <c r="B63" t="s">
        <v>11</v>
      </c>
      <c r="C63">
        <v>0.2676</v>
      </c>
      <c r="D63">
        <v>0.86819999999999997</v>
      </c>
      <c r="E63">
        <v>385.81</v>
      </c>
      <c r="F63">
        <v>101330</v>
      </c>
      <c r="G63" t="s">
        <v>5</v>
      </c>
      <c r="H63">
        <v>0.85170880000000004</v>
      </c>
      <c r="I63">
        <f t="shared" si="3"/>
        <v>1.8994701681640094</v>
      </c>
      <c r="J63">
        <v>389.06279999999998</v>
      </c>
      <c r="K63">
        <f t="shared" si="5"/>
        <v>0.8431093025064097</v>
      </c>
    </row>
    <row r="64" spans="1:13" x14ac:dyDescent="0.4">
      <c r="A64" t="s">
        <v>6</v>
      </c>
      <c r="B64" t="s">
        <v>11</v>
      </c>
      <c r="C64">
        <v>0.30459999999999998</v>
      </c>
      <c r="D64">
        <v>0.89219999999999999</v>
      </c>
      <c r="E64">
        <v>381.58</v>
      </c>
      <c r="F64">
        <v>101330</v>
      </c>
      <c r="G64" t="s">
        <v>5</v>
      </c>
      <c r="H64">
        <v>0.88034469999999998</v>
      </c>
      <c r="I64">
        <f t="shared" si="3"/>
        <v>1.3287715758798491</v>
      </c>
      <c r="J64">
        <v>384.44150000000002</v>
      </c>
      <c r="K64">
        <f t="shared" si="5"/>
        <v>0.74990827611510957</v>
      </c>
    </row>
    <row r="65" spans="1:11" x14ac:dyDescent="0.4">
      <c r="A65" t="s">
        <v>6</v>
      </c>
      <c r="B65" t="s">
        <v>11</v>
      </c>
      <c r="C65">
        <v>0.36099999999999999</v>
      </c>
      <c r="D65">
        <v>0.91920000000000002</v>
      </c>
      <c r="E65">
        <v>375.97</v>
      </c>
      <c r="F65">
        <v>101330</v>
      </c>
      <c r="G65" t="s">
        <v>5</v>
      </c>
      <c r="H65">
        <v>0.91231510000000005</v>
      </c>
      <c r="I65">
        <f t="shared" si="3"/>
        <v>0.7490100087032171</v>
      </c>
      <c r="J65">
        <v>378.24770000000001</v>
      </c>
      <c r="K65">
        <f t="shared" si="5"/>
        <v>0.60581961326701106</v>
      </c>
    </row>
    <row r="66" spans="1:11" x14ac:dyDescent="0.4">
      <c r="A66" t="s">
        <v>6</v>
      </c>
      <c r="B66" t="s">
        <v>11</v>
      </c>
      <c r="C66">
        <v>0.4133</v>
      </c>
      <c r="D66">
        <v>0.93720000000000003</v>
      </c>
      <c r="E66">
        <v>371.53</v>
      </c>
      <c r="F66">
        <v>101330</v>
      </c>
      <c r="G66" t="s">
        <v>5</v>
      </c>
      <c r="H66">
        <v>0.93339490000000003</v>
      </c>
      <c r="I66">
        <f t="shared" si="3"/>
        <v>0.40600725565514356</v>
      </c>
      <c r="J66">
        <v>373.25700000000001</v>
      </c>
      <c r="K66">
        <f t="shared" si="5"/>
        <v>0.4648346028584589</v>
      </c>
    </row>
    <row r="67" spans="1:11" x14ac:dyDescent="0.4">
      <c r="A67" t="s">
        <v>6</v>
      </c>
      <c r="B67" t="s">
        <v>11</v>
      </c>
      <c r="C67">
        <v>0.45529999999999998</v>
      </c>
      <c r="D67">
        <v>0.94820000000000004</v>
      </c>
      <c r="E67">
        <v>368.39</v>
      </c>
      <c r="F67">
        <v>101330</v>
      </c>
      <c r="G67" t="s">
        <v>5</v>
      </c>
      <c r="H67">
        <v>0.94625009999999998</v>
      </c>
      <c r="I67">
        <f t="shared" si="3"/>
        <v>0.20564226956338955</v>
      </c>
      <c r="J67">
        <v>369.67919000000001</v>
      </c>
      <c r="K67">
        <f t="shared" si="5"/>
        <v>0.34995249599609629</v>
      </c>
    </row>
    <row r="68" spans="1:11" x14ac:dyDescent="0.4">
      <c r="A68" t="s">
        <v>6</v>
      </c>
      <c r="B68" t="s">
        <v>11</v>
      </c>
      <c r="C68">
        <v>0.50470000000000004</v>
      </c>
      <c r="D68">
        <v>0.95840000000000003</v>
      </c>
      <c r="E68">
        <v>365.1</v>
      </c>
      <c r="F68">
        <v>101330</v>
      </c>
      <c r="G68" t="s">
        <v>5</v>
      </c>
      <c r="H68">
        <v>0.95805589999999996</v>
      </c>
      <c r="I68">
        <f t="shared" si="3"/>
        <v>3.5903589315533113E-2</v>
      </c>
      <c r="J68">
        <v>365.88069999999999</v>
      </c>
      <c r="K68">
        <f t="shared" si="5"/>
        <v>0.21383182689673175</v>
      </c>
    </row>
    <row r="69" spans="1:11" x14ac:dyDescent="0.4">
      <c r="A69" t="s">
        <v>6</v>
      </c>
      <c r="B69" t="s">
        <v>11</v>
      </c>
      <c r="C69">
        <v>0.53559999999999997</v>
      </c>
      <c r="D69">
        <v>0.9637</v>
      </c>
      <c r="E69">
        <v>363.22</v>
      </c>
      <c r="F69">
        <v>101330</v>
      </c>
      <c r="G69" t="s">
        <v>5</v>
      </c>
      <c r="H69">
        <v>0.96405209999999997</v>
      </c>
      <c r="I69">
        <f t="shared" si="3"/>
        <v>3.6536266472965269E-2</v>
      </c>
      <c r="J69">
        <v>363.69945000000001</v>
      </c>
      <c r="K69">
        <f t="shared" si="5"/>
        <v>0.13199988987390168</v>
      </c>
    </row>
    <row r="70" spans="1:11" x14ac:dyDescent="0.4">
      <c r="A70" t="s">
        <v>6</v>
      </c>
      <c r="B70" t="s">
        <v>11</v>
      </c>
      <c r="C70">
        <v>0.59189999999999998</v>
      </c>
      <c r="D70">
        <v>0.97150000000000003</v>
      </c>
      <c r="E70">
        <v>359.91</v>
      </c>
      <c r="F70">
        <v>101330</v>
      </c>
      <c r="G70" t="s">
        <v>5</v>
      </c>
      <c r="H70">
        <v>0.97290779999999999</v>
      </c>
      <c r="I70">
        <f t="shared" si="3"/>
        <v>0.1449099330931507</v>
      </c>
      <c r="J70">
        <v>360.05583000000001</v>
      </c>
      <c r="K70">
        <f t="shared" si="5"/>
        <v>4.051846294906767E-2</v>
      </c>
    </row>
    <row r="71" spans="1:11" x14ac:dyDescent="0.4">
      <c r="A71" t="s">
        <v>6</v>
      </c>
      <c r="B71" t="s">
        <v>11</v>
      </c>
      <c r="C71">
        <v>0.67</v>
      </c>
      <c r="D71">
        <v>0.97960000000000003</v>
      </c>
      <c r="E71">
        <v>355.62</v>
      </c>
      <c r="F71">
        <v>101330</v>
      </c>
      <c r="G71" t="s">
        <v>5</v>
      </c>
      <c r="H71">
        <v>0.98196269999999997</v>
      </c>
      <c r="I71">
        <f t="shared" si="3"/>
        <v>0.24119028174764595</v>
      </c>
      <c r="J71">
        <v>355.59699000000001</v>
      </c>
      <c r="K71">
        <f t="shared" si="5"/>
        <v>6.4703897418590933E-3</v>
      </c>
    </row>
    <row r="72" spans="1:11" x14ac:dyDescent="0.4">
      <c r="A72" t="s">
        <v>6</v>
      </c>
      <c r="B72" t="s">
        <v>11</v>
      </c>
      <c r="C72">
        <v>0.76280000000000003</v>
      </c>
      <c r="D72">
        <v>0.98640000000000005</v>
      </c>
      <c r="E72">
        <v>351.39</v>
      </c>
      <c r="F72">
        <v>101330</v>
      </c>
      <c r="G72" t="s">
        <v>5</v>
      </c>
      <c r="H72">
        <v>0.98946579999999995</v>
      </c>
      <c r="I72">
        <f t="shared" si="3"/>
        <v>0.31080697485805925</v>
      </c>
      <c r="J72">
        <v>351.02233000000001</v>
      </c>
      <c r="K72">
        <f t="shared" si="5"/>
        <v>0.10463302882836038</v>
      </c>
    </row>
    <row r="73" spans="1:11" x14ac:dyDescent="0.4">
      <c r="A73" t="s">
        <v>6</v>
      </c>
      <c r="B73" t="s">
        <v>11</v>
      </c>
      <c r="C73">
        <v>0.82499999999999996</v>
      </c>
      <c r="D73">
        <v>0.9899</v>
      </c>
      <c r="E73">
        <v>348.52</v>
      </c>
      <c r="F73">
        <v>101330</v>
      </c>
      <c r="G73" t="s">
        <v>5</v>
      </c>
      <c r="H73">
        <v>0.99315739999999997</v>
      </c>
      <c r="I73">
        <f t="shared" si="3"/>
        <v>0.32906354177189273</v>
      </c>
      <c r="J73">
        <v>348.31362999999999</v>
      </c>
      <c r="K73">
        <f t="shared" si="5"/>
        <v>5.9213244577066636E-2</v>
      </c>
    </row>
    <row r="74" spans="1:11" x14ac:dyDescent="0.4">
      <c r="A74" t="s">
        <v>6</v>
      </c>
      <c r="B74" t="s">
        <v>11</v>
      </c>
      <c r="C74">
        <v>1</v>
      </c>
      <c r="D74">
        <v>1</v>
      </c>
      <c r="E74">
        <v>341.8</v>
      </c>
      <c r="F74">
        <v>101330</v>
      </c>
      <c r="G74" t="s">
        <v>5</v>
      </c>
      <c r="H74">
        <v>1</v>
      </c>
      <c r="J74">
        <v>341.88603999999998</v>
      </c>
      <c r="K74">
        <f t="shared" si="5"/>
        <v>2.5172615564648504E-2</v>
      </c>
    </row>
    <row r="75" spans="1:11" x14ac:dyDescent="0.4">
      <c r="A75" t="s">
        <v>6</v>
      </c>
      <c r="B75" t="s">
        <v>12</v>
      </c>
      <c r="C75">
        <v>0</v>
      </c>
      <c r="D75">
        <v>0</v>
      </c>
      <c r="E75">
        <v>330.08</v>
      </c>
      <c r="F75">
        <v>101330</v>
      </c>
      <c r="G75" t="s">
        <v>5</v>
      </c>
      <c r="H75">
        <v>0</v>
      </c>
      <c r="J75">
        <v>330.20573000000002</v>
      </c>
      <c r="K75">
        <f t="shared" si="5"/>
        <v>3.8090765874949334E-2</v>
      </c>
    </row>
    <row r="76" spans="1:11" x14ac:dyDescent="0.4">
      <c r="A76" t="s">
        <v>6</v>
      </c>
      <c r="B76" t="s">
        <v>12</v>
      </c>
      <c r="C76">
        <v>4.8999999999999998E-3</v>
      </c>
      <c r="D76">
        <v>1.43E-2</v>
      </c>
      <c r="E76">
        <v>329.8</v>
      </c>
      <c r="F76">
        <v>101330</v>
      </c>
      <c r="G76" t="s">
        <v>5</v>
      </c>
      <c r="H76">
        <v>1.47978E-2</v>
      </c>
      <c r="I76">
        <f t="shared" si="3"/>
        <v>3.4811188811188782</v>
      </c>
      <c r="J76">
        <v>329.91037</v>
      </c>
      <c r="K76">
        <f t="shared" si="5"/>
        <v>3.3465736810184651E-2</v>
      </c>
    </row>
    <row r="77" spans="1:11" x14ac:dyDescent="0.4">
      <c r="A77" t="s">
        <v>6</v>
      </c>
      <c r="B77" t="s">
        <v>12</v>
      </c>
      <c r="C77">
        <v>1.18E-2</v>
      </c>
      <c r="D77">
        <v>3.3099999999999997E-2</v>
      </c>
      <c r="E77">
        <v>329.43</v>
      </c>
      <c r="F77">
        <v>101330</v>
      </c>
      <c r="G77" t="s">
        <v>5</v>
      </c>
      <c r="H77">
        <v>3.4279400000000002E-2</v>
      </c>
      <c r="I77">
        <f t="shared" si="3"/>
        <v>3.5631419939577165</v>
      </c>
      <c r="J77">
        <v>329.52193999999997</v>
      </c>
      <c r="K77">
        <f t="shared" si="5"/>
        <v>2.7908812190743253E-2</v>
      </c>
    </row>
    <row r="78" spans="1:11" x14ac:dyDescent="0.4">
      <c r="A78" t="s">
        <v>6</v>
      </c>
      <c r="B78" t="s">
        <v>12</v>
      </c>
      <c r="C78">
        <v>2.1600000000000001E-2</v>
      </c>
      <c r="D78">
        <v>5.7000000000000002E-2</v>
      </c>
      <c r="E78">
        <v>328.99</v>
      </c>
      <c r="F78">
        <v>101330</v>
      </c>
      <c r="G78" t="s">
        <v>5</v>
      </c>
      <c r="H78">
        <v>5.9505700000000002E-2</v>
      </c>
      <c r="I78">
        <f t="shared" si="3"/>
        <v>4.395964912280701</v>
      </c>
      <c r="J78">
        <v>329.02066000000002</v>
      </c>
      <c r="K78">
        <f t="shared" si="5"/>
        <v>9.3194322015902244E-3</v>
      </c>
    </row>
    <row r="79" spans="1:11" x14ac:dyDescent="0.4">
      <c r="A79" t="s">
        <v>6</v>
      </c>
      <c r="B79" t="s">
        <v>27</v>
      </c>
      <c r="C79">
        <v>3.3300000000000003E-2</v>
      </c>
      <c r="D79">
        <v>8.2799999999999999E-2</v>
      </c>
      <c r="E79">
        <v>328.51</v>
      </c>
      <c r="F79">
        <v>101330</v>
      </c>
      <c r="G79" t="s">
        <v>5</v>
      </c>
      <c r="H79">
        <v>8.6356600000000006E-2</v>
      </c>
      <c r="I79">
        <f t="shared" si="3"/>
        <v>4.295410628019332</v>
      </c>
      <c r="J79">
        <v>328.49095</v>
      </c>
      <c r="K79">
        <f t="shared" si="5"/>
        <v>5.7989102310410361E-3</v>
      </c>
    </row>
    <row r="80" spans="1:11" x14ac:dyDescent="0.4">
      <c r="A80" t="s">
        <v>6</v>
      </c>
      <c r="B80" t="s">
        <v>12</v>
      </c>
      <c r="C80">
        <v>4.7899999999999998E-2</v>
      </c>
      <c r="D80">
        <v>0.11169999999999999</v>
      </c>
      <c r="E80">
        <v>327.98</v>
      </c>
      <c r="F80">
        <v>101330</v>
      </c>
      <c r="G80" t="s">
        <v>5</v>
      </c>
      <c r="H80">
        <v>0.11566</v>
      </c>
      <c r="I80">
        <f t="shared" si="3"/>
        <v>3.5452103849597183</v>
      </c>
      <c r="J80">
        <v>327.9205</v>
      </c>
      <c r="K80">
        <f t="shared" si="5"/>
        <v>1.8141350082326389E-2</v>
      </c>
    </row>
    <row r="81" spans="1:11" x14ac:dyDescent="0.4">
      <c r="A81" t="s">
        <v>6</v>
      </c>
      <c r="B81" t="s">
        <v>12</v>
      </c>
      <c r="C81">
        <v>6.5299999999999997E-2</v>
      </c>
      <c r="D81">
        <v>0.1409</v>
      </c>
      <c r="E81">
        <v>327.45</v>
      </c>
      <c r="F81">
        <v>101330</v>
      </c>
      <c r="G81" t="s">
        <v>5</v>
      </c>
      <c r="H81">
        <v>0.14558019999999999</v>
      </c>
      <c r="I81">
        <f t="shared" si="3"/>
        <v>3.3216465578424383</v>
      </c>
      <c r="J81">
        <v>327.35097999999999</v>
      </c>
      <c r="K81">
        <f t="shared" si="5"/>
        <v>3.0239731256679156E-2</v>
      </c>
    </row>
    <row r="82" spans="1:11" x14ac:dyDescent="0.4">
      <c r="A82" t="s">
        <v>6</v>
      </c>
      <c r="B82" t="s">
        <v>12</v>
      </c>
      <c r="C82">
        <v>8.7099999999999997E-2</v>
      </c>
      <c r="D82">
        <v>0.1724</v>
      </c>
      <c r="E82">
        <v>326.92</v>
      </c>
      <c r="F82">
        <v>101330</v>
      </c>
      <c r="G82" t="s">
        <v>5</v>
      </c>
      <c r="H82">
        <v>0.1769684</v>
      </c>
      <c r="I82">
        <f t="shared" si="3"/>
        <v>2.6498839907192577</v>
      </c>
      <c r="J82">
        <v>326.77505000000002</v>
      </c>
      <c r="K82">
        <f t="shared" si="5"/>
        <v>4.4338064358251057E-2</v>
      </c>
    </row>
    <row r="83" spans="1:11" x14ac:dyDescent="0.4">
      <c r="A83" t="s">
        <v>6</v>
      </c>
      <c r="B83" t="s">
        <v>12</v>
      </c>
      <c r="C83">
        <v>0.1133</v>
      </c>
      <c r="D83">
        <v>0.2019</v>
      </c>
      <c r="E83">
        <v>326.39</v>
      </c>
      <c r="F83">
        <v>101330</v>
      </c>
      <c r="G83" t="s">
        <v>5</v>
      </c>
      <c r="H83">
        <v>0.20780109999999999</v>
      </c>
      <c r="I83">
        <f t="shared" si="3"/>
        <v>2.9227835562159448</v>
      </c>
      <c r="J83">
        <v>326.24155999999999</v>
      </c>
      <c r="K83">
        <f t="shared" si="5"/>
        <v>4.5479334538433683E-2</v>
      </c>
    </row>
    <row r="84" spans="1:11" x14ac:dyDescent="0.4">
      <c r="A84" t="s">
        <v>6</v>
      </c>
      <c r="B84" t="s">
        <v>12</v>
      </c>
      <c r="C84">
        <v>0.14299999999999999</v>
      </c>
      <c r="D84">
        <v>0.2293</v>
      </c>
      <c r="E84">
        <v>325.95999999999998</v>
      </c>
      <c r="F84">
        <v>101330</v>
      </c>
      <c r="G84" t="s">
        <v>5</v>
      </c>
      <c r="H84">
        <v>0.2359858</v>
      </c>
      <c r="I84">
        <f t="shared" si="3"/>
        <v>2.9157435673789758</v>
      </c>
      <c r="J84">
        <v>325.79521</v>
      </c>
      <c r="K84">
        <f t="shared" si="5"/>
        <v>5.0555282856786801E-2</v>
      </c>
    </row>
    <row r="85" spans="1:11" x14ac:dyDescent="0.4">
      <c r="A85" t="s">
        <v>6</v>
      </c>
      <c r="B85" t="s">
        <v>12</v>
      </c>
      <c r="C85">
        <v>0.17510000000000001</v>
      </c>
      <c r="D85">
        <v>0.253</v>
      </c>
      <c r="E85">
        <v>325.62</v>
      </c>
      <c r="F85">
        <v>101330</v>
      </c>
      <c r="G85" t="s">
        <v>5</v>
      </c>
      <c r="H85">
        <v>0.2605576</v>
      </c>
      <c r="I85">
        <f t="shared" si="3"/>
        <v>2.9871936758893272</v>
      </c>
      <c r="J85">
        <v>325.45227999999997</v>
      </c>
      <c r="K85">
        <f t="shared" si="5"/>
        <v>5.1507892635597061E-2</v>
      </c>
    </row>
    <row r="86" spans="1:11" x14ac:dyDescent="0.4">
      <c r="A86" t="s">
        <v>6</v>
      </c>
      <c r="B86" t="s">
        <v>12</v>
      </c>
      <c r="C86">
        <v>0.2077</v>
      </c>
      <c r="D86">
        <v>0.27510000000000001</v>
      </c>
      <c r="E86">
        <v>325.43</v>
      </c>
      <c r="F86">
        <v>101330</v>
      </c>
      <c r="G86" t="s">
        <v>5</v>
      </c>
      <c r="H86">
        <v>0.28098469999999998</v>
      </c>
      <c r="I86">
        <f t="shared" si="3"/>
        <v>2.1391130498000601</v>
      </c>
      <c r="J86">
        <v>325.21230000000003</v>
      </c>
      <c r="K86">
        <f t="shared" si="5"/>
        <v>6.6896106689604315E-2</v>
      </c>
    </row>
    <row r="87" spans="1:11" x14ac:dyDescent="0.4">
      <c r="A87" t="s">
        <v>6</v>
      </c>
      <c r="B87" t="s">
        <v>12</v>
      </c>
      <c r="C87">
        <v>0.23549999999999999</v>
      </c>
      <c r="D87">
        <v>0.29149999999999998</v>
      </c>
      <c r="E87">
        <v>325.3</v>
      </c>
      <c r="F87">
        <v>101330</v>
      </c>
      <c r="G87" t="s">
        <v>5</v>
      </c>
      <c r="H87">
        <v>0.29576039999999998</v>
      </c>
      <c r="I87">
        <f t="shared" si="3"/>
        <v>1.4615437392795876</v>
      </c>
      <c r="J87">
        <v>325.07182999999998</v>
      </c>
      <c r="K87">
        <f t="shared" si="5"/>
        <v>7.0141407931150992E-2</v>
      </c>
    </row>
    <row r="88" spans="1:11" x14ac:dyDescent="0.4">
      <c r="A88" t="s">
        <v>6</v>
      </c>
      <c r="B88" t="s">
        <v>12</v>
      </c>
      <c r="C88">
        <v>0.2702</v>
      </c>
      <c r="D88">
        <v>0.30580000000000002</v>
      </c>
      <c r="E88">
        <v>325.2</v>
      </c>
      <c r="F88">
        <v>101330</v>
      </c>
      <c r="G88" t="s">
        <v>5</v>
      </c>
      <c r="H88">
        <v>0.31171120000000002</v>
      </c>
      <c r="I88">
        <f t="shared" si="3"/>
        <v>1.9330281229561823</v>
      </c>
      <c r="J88">
        <v>324.95904000000002</v>
      </c>
      <c r="K88">
        <f t="shared" si="5"/>
        <v>7.409594095940121E-2</v>
      </c>
    </row>
    <row r="89" spans="1:11" x14ac:dyDescent="0.4">
      <c r="A89" t="s">
        <v>6</v>
      </c>
      <c r="B89" t="s">
        <v>12</v>
      </c>
      <c r="C89">
        <v>0.30209999999999998</v>
      </c>
      <c r="D89">
        <v>0.31790000000000002</v>
      </c>
      <c r="E89">
        <v>325.14</v>
      </c>
      <c r="F89">
        <v>101330</v>
      </c>
      <c r="G89" t="s">
        <v>5</v>
      </c>
      <c r="H89">
        <v>0.32460280000000002</v>
      </c>
      <c r="I89">
        <f t="shared" si="3"/>
        <v>2.1084617804341015</v>
      </c>
      <c r="J89">
        <v>324.90298000000001</v>
      </c>
      <c r="K89">
        <f t="shared" si="5"/>
        <v>7.2897828627659686E-2</v>
      </c>
    </row>
    <row r="90" spans="1:11" x14ac:dyDescent="0.4">
      <c r="A90" t="s">
        <v>6</v>
      </c>
      <c r="B90" t="s">
        <v>12</v>
      </c>
      <c r="C90">
        <v>0.33279999999999998</v>
      </c>
      <c r="D90">
        <v>0.32990000000000003</v>
      </c>
      <c r="E90">
        <v>325.14</v>
      </c>
      <c r="F90">
        <v>101330</v>
      </c>
      <c r="G90" t="s">
        <v>5</v>
      </c>
      <c r="H90">
        <v>0.33588849999999998</v>
      </c>
      <c r="I90">
        <f t="shared" si="3"/>
        <v>1.8152470445589426</v>
      </c>
      <c r="J90">
        <v>324.88353999999998</v>
      </c>
      <c r="K90">
        <f t="shared" si="5"/>
        <v>7.8876791535955018E-2</v>
      </c>
    </row>
    <row r="91" spans="1:11" x14ac:dyDescent="0.4">
      <c r="A91" t="s">
        <v>6</v>
      </c>
      <c r="B91" t="s">
        <v>12</v>
      </c>
      <c r="C91">
        <v>0.36270000000000002</v>
      </c>
      <c r="D91">
        <v>0.3402</v>
      </c>
      <c r="E91">
        <v>325.16000000000003</v>
      </c>
      <c r="F91">
        <v>101330</v>
      </c>
      <c r="G91" t="s">
        <v>5</v>
      </c>
      <c r="H91">
        <v>0.3461651</v>
      </c>
      <c r="I91">
        <f t="shared" si="3"/>
        <v>1.7534097589653148</v>
      </c>
      <c r="J91">
        <v>324.89233999999999</v>
      </c>
      <c r="K91">
        <f t="shared" si="5"/>
        <v>8.2316398080955477E-2</v>
      </c>
    </row>
    <row r="92" spans="1:11" x14ac:dyDescent="0.4">
      <c r="A92" t="s">
        <v>6</v>
      </c>
      <c r="B92" t="s">
        <v>12</v>
      </c>
      <c r="C92">
        <v>0.39340000000000003</v>
      </c>
      <c r="D92">
        <v>0.35070000000000001</v>
      </c>
      <c r="E92">
        <v>325.2</v>
      </c>
      <c r="F92">
        <v>101330</v>
      </c>
      <c r="G92" t="s">
        <v>5</v>
      </c>
      <c r="H92">
        <v>0.35626999999999998</v>
      </c>
      <c r="I92">
        <f t="shared" si="3"/>
        <v>1.5882520672939733</v>
      </c>
      <c r="J92">
        <v>324.92716000000001</v>
      </c>
      <c r="K92">
        <f t="shared" si="5"/>
        <v>8.389913899138185E-2</v>
      </c>
    </row>
    <row r="93" spans="1:11" x14ac:dyDescent="0.4">
      <c r="A93" t="s">
        <v>6</v>
      </c>
      <c r="B93" t="s">
        <v>12</v>
      </c>
      <c r="C93">
        <v>0.42249999999999999</v>
      </c>
      <c r="D93">
        <v>0.36080000000000001</v>
      </c>
      <c r="E93">
        <v>325.27999999999997</v>
      </c>
      <c r="F93">
        <v>101330</v>
      </c>
      <c r="G93" t="s">
        <v>5</v>
      </c>
      <c r="H93">
        <v>0.36565700000000001</v>
      </c>
      <c r="I93">
        <f t="shared" ref="I93:I121" si="6">100*ABS((H93-D93)/D93)</f>
        <v>1.3461751662971175</v>
      </c>
      <c r="J93">
        <v>324.98338999999999</v>
      </c>
      <c r="K93">
        <f t="shared" ref="K93:K109" si="7">100*ABS((J93-E93)/E93)</f>
        <v>9.1186055090994519E-2</v>
      </c>
    </row>
    <row r="94" spans="1:11" x14ac:dyDescent="0.4">
      <c r="A94" t="s">
        <v>6</v>
      </c>
      <c r="B94" t="s">
        <v>12</v>
      </c>
      <c r="C94">
        <v>0.45200000000000001</v>
      </c>
      <c r="D94">
        <v>0.37090000000000001</v>
      </c>
      <c r="E94">
        <v>325.41000000000003</v>
      </c>
      <c r="F94">
        <v>101330</v>
      </c>
      <c r="G94" t="s">
        <v>5</v>
      </c>
      <c r="H94">
        <v>0.37518370000000001</v>
      </c>
      <c r="I94">
        <f t="shared" si="6"/>
        <v>1.15494742518199</v>
      </c>
      <c r="J94">
        <v>325.06392</v>
      </c>
      <c r="K94">
        <f t="shared" si="7"/>
        <v>0.10635198672444884</v>
      </c>
    </row>
    <row r="95" spans="1:11" x14ac:dyDescent="0.4">
      <c r="A95" t="s">
        <v>6</v>
      </c>
      <c r="B95" t="s">
        <v>12</v>
      </c>
      <c r="C95">
        <v>0.48149999999999998</v>
      </c>
      <c r="D95">
        <v>0.38119999999999998</v>
      </c>
      <c r="E95">
        <v>325.52999999999997</v>
      </c>
      <c r="F95">
        <v>101330</v>
      </c>
      <c r="G95" t="s">
        <v>5</v>
      </c>
      <c r="H95">
        <v>0.38490649999999998</v>
      </c>
      <c r="I95">
        <f t="shared" si="6"/>
        <v>0.97232423924449152</v>
      </c>
      <c r="J95">
        <v>325.16971999999998</v>
      </c>
      <c r="K95">
        <f t="shared" si="7"/>
        <v>0.11067489939482961</v>
      </c>
    </row>
    <row r="96" spans="1:11" x14ac:dyDescent="0.4">
      <c r="A96" t="s">
        <v>6</v>
      </c>
      <c r="B96" t="s">
        <v>12</v>
      </c>
      <c r="C96">
        <v>0.51219999999999999</v>
      </c>
      <c r="D96">
        <v>0.39190000000000003</v>
      </c>
      <c r="E96">
        <v>325.64999999999998</v>
      </c>
      <c r="F96">
        <v>101330</v>
      </c>
      <c r="G96" t="s">
        <v>5</v>
      </c>
      <c r="H96">
        <v>0.39542759999999999</v>
      </c>
      <c r="I96">
        <f t="shared" si="6"/>
        <v>0.90012758356722744</v>
      </c>
      <c r="J96">
        <v>325.30955999999998</v>
      </c>
      <c r="K96">
        <f t="shared" si="7"/>
        <v>0.10454168585905144</v>
      </c>
    </row>
    <row r="97" spans="1:13" x14ac:dyDescent="0.4">
      <c r="A97" t="s">
        <v>6</v>
      </c>
      <c r="B97" t="s">
        <v>12</v>
      </c>
      <c r="C97">
        <v>0.53859999999999997</v>
      </c>
      <c r="D97">
        <v>0.40189999999999998</v>
      </c>
      <c r="E97">
        <v>325.83999999999997</v>
      </c>
      <c r="F97">
        <v>101330</v>
      </c>
      <c r="G97" t="s">
        <v>5</v>
      </c>
      <c r="H97">
        <v>0.4049587</v>
      </c>
      <c r="I97">
        <f t="shared" si="6"/>
        <v>0.76105996516547036</v>
      </c>
      <c r="J97">
        <v>325.45722999999998</v>
      </c>
      <c r="K97">
        <f t="shared" si="7"/>
        <v>0.1174717652835728</v>
      </c>
    </row>
    <row r="98" spans="1:13" x14ac:dyDescent="0.4">
      <c r="A98" t="s">
        <v>6</v>
      </c>
      <c r="B98" t="s">
        <v>12</v>
      </c>
      <c r="C98">
        <v>0.60309999999999997</v>
      </c>
      <c r="D98">
        <v>0.43340000000000001</v>
      </c>
      <c r="E98">
        <v>326.35000000000002</v>
      </c>
      <c r="F98">
        <v>101330</v>
      </c>
      <c r="G98" t="s">
        <v>5</v>
      </c>
      <c r="H98">
        <v>0.4310407</v>
      </c>
      <c r="I98">
        <f t="shared" si="6"/>
        <v>0.54437009690816995</v>
      </c>
      <c r="J98">
        <v>325.94826</v>
      </c>
      <c r="K98">
        <f t="shared" si="7"/>
        <v>0.12310096522139358</v>
      </c>
    </row>
    <row r="99" spans="1:13" x14ac:dyDescent="0.4">
      <c r="A99" t="s">
        <v>6</v>
      </c>
      <c r="B99" t="s">
        <v>12</v>
      </c>
      <c r="C99">
        <v>0.64659999999999995</v>
      </c>
      <c r="D99">
        <v>0.4541</v>
      </c>
      <c r="E99">
        <v>326.85000000000002</v>
      </c>
      <c r="F99">
        <v>101330</v>
      </c>
      <c r="G99" t="s">
        <v>5</v>
      </c>
      <c r="H99">
        <v>0.45181009999999999</v>
      </c>
      <c r="I99">
        <f t="shared" si="6"/>
        <v>0.50427218674301055</v>
      </c>
      <c r="J99">
        <v>326.41201000000001</v>
      </c>
      <c r="K99">
        <f t="shared" si="7"/>
        <v>0.13400336545816535</v>
      </c>
    </row>
    <row r="100" spans="1:13" x14ac:dyDescent="0.4">
      <c r="A100" t="s">
        <v>6</v>
      </c>
      <c r="B100" t="s">
        <v>12</v>
      </c>
      <c r="C100">
        <v>0.69930000000000003</v>
      </c>
      <c r="D100">
        <v>0.48280000000000001</v>
      </c>
      <c r="E100">
        <v>327.56</v>
      </c>
      <c r="F100">
        <v>101330</v>
      </c>
      <c r="G100" t="s">
        <v>5</v>
      </c>
      <c r="H100">
        <v>0.48194389999999998</v>
      </c>
      <c r="I100">
        <f t="shared" si="6"/>
        <v>0.177319801159906</v>
      </c>
      <c r="J100">
        <v>327.16570000000002</v>
      </c>
      <c r="K100">
        <f t="shared" si="7"/>
        <v>0.1203748931493427</v>
      </c>
    </row>
    <row r="101" spans="1:13" x14ac:dyDescent="0.4">
      <c r="A101" t="s">
        <v>6</v>
      </c>
      <c r="B101" t="s">
        <v>12</v>
      </c>
      <c r="C101">
        <v>0.74880000000000002</v>
      </c>
      <c r="D101">
        <v>0.5181</v>
      </c>
      <c r="E101">
        <v>328.54</v>
      </c>
      <c r="F101">
        <v>101330</v>
      </c>
      <c r="G101" t="s">
        <v>5</v>
      </c>
      <c r="H101">
        <v>0.51715630000000001</v>
      </c>
      <c r="I101">
        <f t="shared" si="6"/>
        <v>0.18214630380235317</v>
      </c>
      <c r="J101">
        <v>328.12689</v>
      </c>
      <c r="K101">
        <f t="shared" si="7"/>
        <v>0.1257411578498866</v>
      </c>
    </row>
    <row r="102" spans="1:13" x14ac:dyDescent="0.4">
      <c r="A102" t="s">
        <v>6</v>
      </c>
      <c r="B102" t="s">
        <v>12</v>
      </c>
      <c r="C102">
        <v>0.79810000000000003</v>
      </c>
      <c r="D102">
        <v>0.56489999999999996</v>
      </c>
      <c r="E102">
        <v>329.93</v>
      </c>
      <c r="F102">
        <v>101330</v>
      </c>
      <c r="G102" t="s">
        <v>5</v>
      </c>
      <c r="H102">
        <v>0.56171300000000002</v>
      </c>
      <c r="I102">
        <f t="shared" si="6"/>
        <v>0.56417064967249775</v>
      </c>
      <c r="J102">
        <v>329.41356000000002</v>
      </c>
      <c r="K102">
        <f t="shared" si="7"/>
        <v>0.15653017306701078</v>
      </c>
    </row>
    <row r="103" spans="1:13" x14ac:dyDescent="0.4">
      <c r="A103" t="s">
        <v>6</v>
      </c>
      <c r="B103" t="s">
        <v>12</v>
      </c>
      <c r="C103">
        <v>0.84150000000000003</v>
      </c>
      <c r="D103">
        <v>0.61860000000000004</v>
      </c>
      <c r="E103">
        <v>331.57</v>
      </c>
      <c r="F103">
        <v>101330</v>
      </c>
      <c r="G103" t="s">
        <v>5</v>
      </c>
      <c r="H103">
        <v>0.61212880000000003</v>
      </c>
      <c r="I103">
        <f t="shared" si="6"/>
        <v>1.0461041060459118</v>
      </c>
      <c r="J103">
        <v>330.91201999999998</v>
      </c>
      <c r="K103">
        <f t="shared" si="7"/>
        <v>0.19844376753023768</v>
      </c>
    </row>
    <row r="104" spans="1:13" x14ac:dyDescent="0.4">
      <c r="A104" t="s">
        <v>6</v>
      </c>
      <c r="B104" t="s">
        <v>12</v>
      </c>
      <c r="C104">
        <v>0.88190000000000002</v>
      </c>
      <c r="D104">
        <v>0.67920000000000003</v>
      </c>
      <c r="E104">
        <v>333.37</v>
      </c>
      <c r="F104">
        <v>101330</v>
      </c>
      <c r="G104" t="s">
        <v>5</v>
      </c>
      <c r="H104">
        <v>0.67260370000000003</v>
      </c>
      <c r="I104">
        <f t="shared" si="6"/>
        <v>0.97118669022379267</v>
      </c>
      <c r="J104">
        <v>332.71985999999998</v>
      </c>
      <c r="K104">
        <f t="shared" si="7"/>
        <v>0.19502054773975513</v>
      </c>
    </row>
    <row r="105" spans="1:13" x14ac:dyDescent="0.4">
      <c r="A105" t="s">
        <v>6</v>
      </c>
      <c r="B105" t="s">
        <v>12</v>
      </c>
      <c r="C105">
        <v>0.91879999999999995</v>
      </c>
      <c r="D105">
        <v>0.74639999999999995</v>
      </c>
      <c r="E105">
        <v>335.3</v>
      </c>
      <c r="F105">
        <v>101330</v>
      </c>
      <c r="G105" t="s">
        <v>5</v>
      </c>
      <c r="H105">
        <v>0.74425379999999997</v>
      </c>
      <c r="I105">
        <f t="shared" si="6"/>
        <v>0.28754019292604333</v>
      </c>
      <c r="J105">
        <v>334.83425</v>
      </c>
      <c r="K105">
        <f t="shared" si="7"/>
        <v>0.13890545779899019</v>
      </c>
    </row>
    <row r="106" spans="1:13" x14ac:dyDescent="0.4">
      <c r="A106" t="s">
        <v>6</v>
      </c>
      <c r="B106" t="s">
        <v>12</v>
      </c>
      <c r="C106">
        <v>0.94679999999999997</v>
      </c>
      <c r="D106">
        <v>0.81120000000000003</v>
      </c>
      <c r="E106">
        <v>337.23</v>
      </c>
      <c r="F106">
        <v>101330</v>
      </c>
      <c r="G106" t="s">
        <v>5</v>
      </c>
      <c r="H106">
        <v>0.81341949999999996</v>
      </c>
      <c r="I106">
        <f t="shared" si="6"/>
        <v>0.27360700197237792</v>
      </c>
      <c r="J106">
        <v>336.82411000000002</v>
      </c>
      <c r="K106">
        <f t="shared" si="7"/>
        <v>0.12035999169706117</v>
      </c>
    </row>
    <row r="107" spans="1:13" x14ac:dyDescent="0.4">
      <c r="A107" t="s">
        <v>6</v>
      </c>
      <c r="B107" t="s">
        <v>12</v>
      </c>
      <c r="C107">
        <v>0.97089999999999999</v>
      </c>
      <c r="D107">
        <v>0.88419999999999999</v>
      </c>
      <c r="E107">
        <v>339.2</v>
      </c>
      <c r="F107">
        <v>101330</v>
      </c>
      <c r="G107" t="s">
        <v>5</v>
      </c>
      <c r="H107">
        <v>0.88704590000000005</v>
      </c>
      <c r="I107">
        <f t="shared" si="6"/>
        <v>0.32186156978060027</v>
      </c>
      <c r="J107">
        <v>338.87619999999998</v>
      </c>
      <c r="K107">
        <f t="shared" si="7"/>
        <v>9.5459905660379027E-2</v>
      </c>
    </row>
    <row r="108" spans="1:13" x14ac:dyDescent="0.4">
      <c r="A108" t="s">
        <v>6</v>
      </c>
      <c r="B108" t="s">
        <v>12</v>
      </c>
      <c r="C108">
        <v>0.98919999999999997</v>
      </c>
      <c r="D108">
        <v>0.95289999999999997</v>
      </c>
      <c r="E108">
        <v>340.83</v>
      </c>
      <c r="F108">
        <v>101330</v>
      </c>
      <c r="G108" t="s">
        <v>5</v>
      </c>
      <c r="H108">
        <v>0.95443049999999996</v>
      </c>
      <c r="I108">
        <f t="shared" si="6"/>
        <v>0.16061496484415891</v>
      </c>
      <c r="J108">
        <v>340.69184000000001</v>
      </c>
      <c r="K108">
        <f t="shared" si="7"/>
        <v>4.0536337763685926E-2</v>
      </c>
    </row>
    <row r="109" spans="1:13" x14ac:dyDescent="0.4">
      <c r="A109" t="s">
        <v>6</v>
      </c>
      <c r="B109" t="s">
        <v>12</v>
      </c>
      <c r="C109">
        <v>1</v>
      </c>
      <c r="D109">
        <v>1</v>
      </c>
      <c r="E109">
        <v>341.89</v>
      </c>
      <c r="F109">
        <v>101330</v>
      </c>
      <c r="G109" t="s">
        <v>5</v>
      </c>
      <c r="H109">
        <v>1</v>
      </c>
      <c r="J109">
        <v>341.88603999999998</v>
      </c>
      <c r="K109">
        <f t="shared" si="7"/>
        <v>1.1582672789512425E-3</v>
      </c>
    </row>
    <row r="110" spans="1:13" x14ac:dyDescent="0.4">
      <c r="A110" t="s">
        <v>6</v>
      </c>
      <c r="B110" t="s">
        <v>13</v>
      </c>
      <c r="C110">
        <v>4.7100000000000003E-2</v>
      </c>
      <c r="D110">
        <v>0.2359</v>
      </c>
      <c r="E110">
        <v>308.14999999999998</v>
      </c>
      <c r="F110">
        <v>8490</v>
      </c>
      <c r="G110" t="s">
        <v>4</v>
      </c>
      <c r="H110">
        <v>0.19861119999999999</v>
      </c>
      <c r="I110">
        <f t="shared" si="6"/>
        <v>15.807036880033918</v>
      </c>
      <c r="L110">
        <v>8341.42</v>
      </c>
      <c r="M110">
        <f t="shared" ref="M110:M121" si="8">100*ABS((L110-F110)/F110)</f>
        <v>1.7500588928150758</v>
      </c>
    </row>
    <row r="111" spans="1:13" x14ac:dyDescent="0.4">
      <c r="A111" t="s">
        <v>6</v>
      </c>
      <c r="B111" t="s">
        <v>13</v>
      </c>
      <c r="C111">
        <v>8.6300000000000002E-2</v>
      </c>
      <c r="D111">
        <v>0.37059999999999998</v>
      </c>
      <c r="E111">
        <v>308.14999999999998</v>
      </c>
      <c r="F111">
        <v>9900</v>
      </c>
      <c r="G111" t="s">
        <v>4</v>
      </c>
      <c r="H111">
        <v>0.31849240000000001</v>
      </c>
      <c r="I111">
        <f t="shared" si="6"/>
        <v>14.060334592552612</v>
      </c>
      <c r="L111">
        <v>9419.5300000000007</v>
      </c>
      <c r="M111">
        <f t="shared" si="8"/>
        <v>4.8532323232323167</v>
      </c>
    </row>
    <row r="112" spans="1:13" x14ac:dyDescent="0.4">
      <c r="A112" t="s">
        <v>6</v>
      </c>
      <c r="B112" t="s">
        <v>13</v>
      </c>
      <c r="C112">
        <v>0.1188</v>
      </c>
      <c r="D112">
        <v>0.44800000000000001</v>
      </c>
      <c r="E112">
        <v>308.14999999999998</v>
      </c>
      <c r="F112">
        <v>10900</v>
      </c>
      <c r="G112" t="s">
        <v>4</v>
      </c>
      <c r="H112">
        <v>0.39751839999999999</v>
      </c>
      <c r="I112">
        <f t="shared" si="6"/>
        <v>11.268214285714288</v>
      </c>
      <c r="L112">
        <v>10292.870000000001</v>
      </c>
      <c r="M112">
        <f t="shared" si="8"/>
        <v>5.5699999999999923</v>
      </c>
    </row>
    <row r="113" spans="1:13" x14ac:dyDescent="0.4">
      <c r="A113" t="s">
        <v>6</v>
      </c>
      <c r="B113" t="s">
        <v>28</v>
      </c>
      <c r="C113">
        <v>0.1711</v>
      </c>
      <c r="D113">
        <v>0.54969999999999997</v>
      </c>
      <c r="E113">
        <v>308.14999999999998</v>
      </c>
      <c r="F113">
        <v>12470</v>
      </c>
      <c r="G113" t="s">
        <v>4</v>
      </c>
      <c r="H113">
        <v>0.49817709999999998</v>
      </c>
      <c r="I113">
        <f t="shared" si="6"/>
        <v>9.3729124977260305</v>
      </c>
      <c r="L113">
        <v>11662.8</v>
      </c>
      <c r="M113">
        <f t="shared" si="8"/>
        <v>6.4731355252606315</v>
      </c>
    </row>
    <row r="114" spans="1:13" x14ac:dyDescent="0.4">
      <c r="A114" t="s">
        <v>6</v>
      </c>
      <c r="B114" t="s">
        <v>13</v>
      </c>
      <c r="C114">
        <v>0.25140000000000001</v>
      </c>
      <c r="D114">
        <v>0.65200000000000002</v>
      </c>
      <c r="E114">
        <v>308.14999999999998</v>
      </c>
      <c r="F114">
        <v>15000</v>
      </c>
      <c r="G114" t="s">
        <v>4</v>
      </c>
      <c r="H114">
        <v>0.61132640000000005</v>
      </c>
      <c r="I114">
        <f t="shared" si="6"/>
        <v>6.2382822085889531</v>
      </c>
      <c r="L114">
        <v>13691.57</v>
      </c>
      <c r="M114">
        <f t="shared" si="8"/>
        <v>8.7228666666666683</v>
      </c>
    </row>
    <row r="115" spans="1:13" x14ac:dyDescent="0.4">
      <c r="A115" t="s">
        <v>6</v>
      </c>
      <c r="B115" t="s">
        <v>13</v>
      </c>
      <c r="C115">
        <v>0.3004</v>
      </c>
      <c r="D115">
        <v>0.69020000000000004</v>
      </c>
      <c r="E115">
        <v>308.14999999999998</v>
      </c>
      <c r="F115">
        <v>16155</v>
      </c>
      <c r="G115" t="s">
        <v>4</v>
      </c>
      <c r="H115">
        <v>0.66433240000000005</v>
      </c>
      <c r="I115">
        <f t="shared" si="6"/>
        <v>3.7478412054476946</v>
      </c>
      <c r="L115">
        <v>14891.61</v>
      </c>
      <c r="M115">
        <f t="shared" si="8"/>
        <v>7.8204271123491136</v>
      </c>
    </row>
    <row r="116" spans="1:13" x14ac:dyDescent="0.4">
      <c r="A116" t="s">
        <v>6</v>
      </c>
      <c r="B116" t="s">
        <v>13</v>
      </c>
      <c r="C116">
        <v>0.4506</v>
      </c>
      <c r="D116">
        <v>0.79400000000000004</v>
      </c>
      <c r="E116">
        <v>308.14999999999998</v>
      </c>
      <c r="F116">
        <v>20005</v>
      </c>
      <c r="G116" t="s">
        <v>4</v>
      </c>
      <c r="H116">
        <v>0.78272180000000002</v>
      </c>
      <c r="I116">
        <f t="shared" si="6"/>
        <v>1.4204282115869038</v>
      </c>
      <c r="L116">
        <v>18432.72</v>
      </c>
      <c r="M116">
        <f t="shared" si="8"/>
        <v>7.859435141214691</v>
      </c>
    </row>
    <row r="117" spans="1:13" x14ac:dyDescent="0.4">
      <c r="A117" t="s">
        <v>6</v>
      </c>
      <c r="B117" t="s">
        <v>13</v>
      </c>
      <c r="C117">
        <v>0.54830000000000001</v>
      </c>
      <c r="D117">
        <v>0.8407</v>
      </c>
      <c r="E117">
        <v>308.14999999999998</v>
      </c>
      <c r="F117">
        <v>22045</v>
      </c>
      <c r="G117" t="s">
        <v>4</v>
      </c>
      <c r="H117">
        <v>0.8379337</v>
      </c>
      <c r="I117">
        <f t="shared" si="6"/>
        <v>0.32904722255263463</v>
      </c>
      <c r="L117">
        <v>20656.810000000001</v>
      </c>
      <c r="M117">
        <f t="shared" si="8"/>
        <v>6.2970741664776533</v>
      </c>
    </row>
    <row r="118" spans="1:13" x14ac:dyDescent="0.4">
      <c r="A118" t="s">
        <v>6</v>
      </c>
      <c r="B118" t="s">
        <v>13</v>
      </c>
      <c r="C118">
        <v>0.64400000000000002</v>
      </c>
      <c r="D118">
        <v>0.88119999999999998</v>
      </c>
      <c r="E118">
        <v>308.14999999999998</v>
      </c>
      <c r="F118">
        <v>23900</v>
      </c>
      <c r="G118" t="s">
        <v>4</v>
      </c>
      <c r="H118">
        <v>0.88208039999999999</v>
      </c>
      <c r="I118">
        <f t="shared" si="6"/>
        <v>9.9909214707217822E-2</v>
      </c>
      <c r="L118">
        <v>22800.15</v>
      </c>
      <c r="M118">
        <f t="shared" si="8"/>
        <v>4.6018828451882783</v>
      </c>
    </row>
    <row r="119" spans="1:13" x14ac:dyDescent="0.4">
      <c r="A119" t="s">
        <v>6</v>
      </c>
      <c r="B119" t="s">
        <v>13</v>
      </c>
      <c r="C119">
        <v>0.753</v>
      </c>
      <c r="D119">
        <v>0.92</v>
      </c>
      <c r="E119">
        <v>308.14999999999998</v>
      </c>
      <c r="F119">
        <v>26120</v>
      </c>
      <c r="G119" t="s">
        <v>4</v>
      </c>
      <c r="H119">
        <v>0.92421209999999998</v>
      </c>
      <c r="I119">
        <f t="shared" si="6"/>
        <v>0.45783695652173267</v>
      </c>
      <c r="L119">
        <v>25222.79</v>
      </c>
      <c r="M119">
        <f t="shared" si="8"/>
        <v>3.4349540581929525</v>
      </c>
    </row>
    <row r="120" spans="1:13" x14ac:dyDescent="0.4">
      <c r="A120" t="s">
        <v>6</v>
      </c>
      <c r="B120" t="s">
        <v>13</v>
      </c>
      <c r="C120">
        <v>0.82210000000000005</v>
      </c>
      <c r="D120">
        <v>0.94230000000000003</v>
      </c>
      <c r="E120">
        <v>308.14999999999998</v>
      </c>
      <c r="F120">
        <v>27315</v>
      </c>
      <c r="G120" t="s">
        <v>4</v>
      </c>
      <c r="H120">
        <v>0.94765929999999998</v>
      </c>
      <c r="I120">
        <f t="shared" si="6"/>
        <v>0.56874668364639236</v>
      </c>
      <c r="L120">
        <v>26759.37</v>
      </c>
      <c r="M120">
        <f t="shared" si="8"/>
        <v>2.0341570565623321</v>
      </c>
    </row>
    <row r="121" spans="1:13" x14ac:dyDescent="0.4">
      <c r="A121" t="s">
        <v>6</v>
      </c>
      <c r="B121" t="s">
        <v>13</v>
      </c>
      <c r="C121">
        <v>0.91949999999999998</v>
      </c>
      <c r="D121">
        <v>0.9728</v>
      </c>
      <c r="E121">
        <v>308.14999999999998</v>
      </c>
      <c r="F121">
        <v>29105</v>
      </c>
      <c r="G121" t="s">
        <v>4</v>
      </c>
      <c r="H121">
        <v>0.97751759999999999</v>
      </c>
      <c r="I121">
        <f t="shared" si="6"/>
        <v>0.48495065789473563</v>
      </c>
      <c r="L121">
        <v>28939.88</v>
      </c>
      <c r="M121">
        <f t="shared" si="8"/>
        <v>0.56732520185534785</v>
      </c>
    </row>
    <row r="122" spans="1:13" x14ac:dyDescent="0.4">
      <c r="A122" t="s">
        <v>29</v>
      </c>
      <c r="B122" t="s">
        <v>15</v>
      </c>
      <c r="C122">
        <v>0</v>
      </c>
      <c r="D122">
        <v>0</v>
      </c>
      <c r="E122">
        <v>351.42320000000001</v>
      </c>
      <c r="F122">
        <v>101325</v>
      </c>
      <c r="G122" t="s">
        <v>5</v>
      </c>
      <c r="H122">
        <v>0</v>
      </c>
      <c r="J122">
        <v>351.46033</v>
      </c>
      <c r="K122">
        <f t="shared" ref="K122:K140" si="9">100*ABS((J122-E122)/E122)</f>
        <v>1.0565608645072538E-2</v>
      </c>
    </row>
    <row r="123" spans="1:13" x14ac:dyDescent="0.4">
      <c r="A123" t="s">
        <v>14</v>
      </c>
      <c r="B123" t="s">
        <v>15</v>
      </c>
      <c r="C123">
        <v>3.5000000000000003E-2</v>
      </c>
      <c r="D123">
        <v>0.122</v>
      </c>
      <c r="E123">
        <v>349.52339999999998</v>
      </c>
      <c r="F123">
        <v>101325</v>
      </c>
      <c r="G123" t="s">
        <v>5</v>
      </c>
      <c r="H123">
        <v>0.1031164</v>
      </c>
      <c r="I123">
        <f t="shared" ref="I123:I151" si="10">100*ABS((H123-D123)/D123)</f>
        <v>15.478360655737704</v>
      </c>
      <c r="J123">
        <v>349.57558999999998</v>
      </c>
      <c r="K123">
        <f t="shared" si="9"/>
        <v>1.4931761364187909E-2</v>
      </c>
    </row>
    <row r="124" spans="1:13" x14ac:dyDescent="0.4">
      <c r="A124" t="s">
        <v>14</v>
      </c>
      <c r="B124" t="s">
        <v>15</v>
      </c>
      <c r="C124">
        <v>4.4999999999999998E-2</v>
      </c>
      <c r="D124">
        <v>0.125</v>
      </c>
      <c r="E124">
        <v>349.32339999999999</v>
      </c>
      <c r="F124">
        <v>101325</v>
      </c>
      <c r="G124" t="s">
        <v>5</v>
      </c>
      <c r="H124">
        <v>0.13039709999999999</v>
      </c>
      <c r="I124">
        <f t="shared" si="10"/>
        <v>4.3176799999999904</v>
      </c>
      <c r="J124">
        <v>349.05194</v>
      </c>
      <c r="K124">
        <f t="shared" si="9"/>
        <v>7.7710224966317881E-2</v>
      </c>
    </row>
    <row r="125" spans="1:13" x14ac:dyDescent="0.4">
      <c r="A125" t="s">
        <v>14</v>
      </c>
      <c r="B125" t="s">
        <v>15</v>
      </c>
      <c r="C125">
        <v>7.2999999999999995E-2</v>
      </c>
      <c r="D125">
        <v>0.20300000000000001</v>
      </c>
      <c r="E125">
        <v>347.82350000000002</v>
      </c>
      <c r="F125">
        <v>101325</v>
      </c>
      <c r="G125" t="s">
        <v>5</v>
      </c>
      <c r="H125">
        <v>0.20207259999999999</v>
      </c>
      <c r="I125">
        <f t="shared" si="10"/>
        <v>0.45684729064040519</v>
      </c>
      <c r="J125">
        <v>347.62027</v>
      </c>
      <c r="K125">
        <f t="shared" si="9"/>
        <v>5.8429059566136018E-2</v>
      </c>
    </row>
    <row r="126" spans="1:13" x14ac:dyDescent="0.4">
      <c r="A126" t="s">
        <v>14</v>
      </c>
      <c r="B126" t="s">
        <v>15</v>
      </c>
      <c r="C126">
        <v>9.7000000000000003E-2</v>
      </c>
      <c r="D126">
        <v>0.253</v>
      </c>
      <c r="E126">
        <v>346.32369999999997</v>
      </c>
      <c r="F126">
        <v>101325</v>
      </c>
      <c r="G126" t="s">
        <v>5</v>
      </c>
      <c r="H126">
        <v>0.25839040000000002</v>
      </c>
      <c r="I126">
        <f t="shared" si="10"/>
        <v>2.130592885375501</v>
      </c>
      <c r="J126">
        <v>346.43304000000001</v>
      </c>
      <c r="K126">
        <f t="shared" si="9"/>
        <v>3.1571619268341011E-2</v>
      </c>
    </row>
    <row r="127" spans="1:13" x14ac:dyDescent="0.4">
      <c r="A127" t="s">
        <v>14</v>
      </c>
      <c r="B127" t="s">
        <v>15</v>
      </c>
      <c r="C127">
        <v>0.129</v>
      </c>
      <c r="D127">
        <v>0.32400000000000001</v>
      </c>
      <c r="E127">
        <v>345.12380000000002</v>
      </c>
      <c r="F127">
        <v>101325</v>
      </c>
      <c r="G127" t="s">
        <v>5</v>
      </c>
      <c r="H127">
        <v>0.32685750000000002</v>
      </c>
      <c r="I127">
        <f t="shared" si="10"/>
        <v>0.88194444444444842</v>
      </c>
      <c r="J127">
        <v>344.90606000000002</v>
      </c>
      <c r="K127">
        <f t="shared" si="9"/>
        <v>6.3090404081083962E-2</v>
      </c>
    </row>
    <row r="128" spans="1:13" x14ac:dyDescent="0.4">
      <c r="A128" t="s">
        <v>14</v>
      </c>
      <c r="B128" t="s">
        <v>15</v>
      </c>
      <c r="C128">
        <v>0.13800000000000001</v>
      </c>
      <c r="D128">
        <v>0.33800000000000002</v>
      </c>
      <c r="E128">
        <v>344.32389999999998</v>
      </c>
      <c r="F128">
        <v>101325</v>
      </c>
      <c r="G128" t="s">
        <v>5</v>
      </c>
      <c r="H128">
        <v>0.344856</v>
      </c>
      <c r="I128">
        <f t="shared" si="10"/>
        <v>2.0284023668638973</v>
      </c>
      <c r="J128">
        <v>344.48791</v>
      </c>
      <c r="K128">
        <f t="shared" si="9"/>
        <v>4.7632476281785512E-2</v>
      </c>
    </row>
    <row r="129" spans="1:13" x14ac:dyDescent="0.4">
      <c r="A129" t="s">
        <v>14</v>
      </c>
      <c r="B129" t="s">
        <v>15</v>
      </c>
      <c r="C129">
        <v>0.185</v>
      </c>
      <c r="D129">
        <v>0.42199999999999999</v>
      </c>
      <c r="E129">
        <v>342.72399999999999</v>
      </c>
      <c r="F129">
        <v>101325</v>
      </c>
      <c r="G129" t="s">
        <v>5</v>
      </c>
      <c r="H129">
        <v>0.43079620000000002</v>
      </c>
      <c r="I129">
        <f t="shared" si="10"/>
        <v>2.0844075829383959</v>
      </c>
      <c r="J129">
        <v>342.38274999999999</v>
      </c>
      <c r="K129">
        <f t="shared" si="9"/>
        <v>9.9569916317503976E-2</v>
      </c>
    </row>
    <row r="130" spans="1:13" x14ac:dyDescent="0.4">
      <c r="A130" t="s">
        <v>14</v>
      </c>
      <c r="B130" t="s">
        <v>15</v>
      </c>
      <c r="C130">
        <v>0.252</v>
      </c>
      <c r="D130">
        <v>0.52600000000000002</v>
      </c>
      <c r="E130">
        <v>340.12400000000002</v>
      </c>
      <c r="F130">
        <v>101325</v>
      </c>
      <c r="G130" t="s">
        <v>5</v>
      </c>
      <c r="H130">
        <v>0.53315950000000001</v>
      </c>
      <c r="I130">
        <f t="shared" si="10"/>
        <v>1.3611216730037994</v>
      </c>
      <c r="J130">
        <v>339.60057</v>
      </c>
      <c r="K130">
        <f t="shared" si="9"/>
        <v>0.15389387399890009</v>
      </c>
    </row>
    <row r="131" spans="1:13" x14ac:dyDescent="0.4">
      <c r="A131" t="s">
        <v>14</v>
      </c>
      <c r="B131" t="s">
        <v>15</v>
      </c>
      <c r="C131">
        <v>0.29599999999999999</v>
      </c>
      <c r="D131">
        <v>0.58099999999999996</v>
      </c>
      <c r="E131">
        <v>339.12400000000002</v>
      </c>
      <c r="F131">
        <v>101325</v>
      </c>
      <c r="G131" t="s">
        <v>5</v>
      </c>
      <c r="H131">
        <v>0.58975169999999999</v>
      </c>
      <c r="I131">
        <f t="shared" si="10"/>
        <v>1.5063166953528451</v>
      </c>
      <c r="J131">
        <v>337.90602999999999</v>
      </c>
      <c r="K131">
        <f t="shared" si="9"/>
        <v>0.35915181467546869</v>
      </c>
    </row>
    <row r="132" spans="1:13" x14ac:dyDescent="0.4">
      <c r="A132" t="s">
        <v>14</v>
      </c>
      <c r="B132" t="s">
        <v>15</v>
      </c>
      <c r="C132">
        <v>0.34499999999999997</v>
      </c>
      <c r="D132">
        <v>0.64400000000000002</v>
      </c>
      <c r="E132">
        <v>337.524</v>
      </c>
      <c r="F132">
        <v>101325</v>
      </c>
      <c r="G132" t="s">
        <v>5</v>
      </c>
      <c r="H132">
        <v>0.64459180000000005</v>
      </c>
      <c r="I132">
        <f t="shared" si="10"/>
        <v>9.1894409937893037E-2</v>
      </c>
      <c r="J132">
        <v>336.13603000000001</v>
      </c>
      <c r="K132">
        <f t="shared" si="9"/>
        <v>0.4112211279790462</v>
      </c>
    </row>
    <row r="133" spans="1:13" x14ac:dyDescent="0.4">
      <c r="A133" t="s">
        <v>14</v>
      </c>
      <c r="B133" t="s">
        <v>15</v>
      </c>
      <c r="C133">
        <v>0.39</v>
      </c>
      <c r="D133">
        <v>0.66500000000000004</v>
      </c>
      <c r="E133">
        <v>336.12400000000002</v>
      </c>
      <c r="F133">
        <v>101325</v>
      </c>
      <c r="G133" t="s">
        <v>5</v>
      </c>
      <c r="H133">
        <v>0.68849640000000001</v>
      </c>
      <c r="I133">
        <f t="shared" si="10"/>
        <v>3.5332932330827025</v>
      </c>
      <c r="J133">
        <v>334.61437000000001</v>
      </c>
      <c r="K133">
        <f t="shared" si="9"/>
        <v>0.449128892908574</v>
      </c>
    </row>
    <row r="134" spans="1:13" x14ac:dyDescent="0.4">
      <c r="A134" t="s">
        <v>14</v>
      </c>
      <c r="B134" t="s">
        <v>15</v>
      </c>
      <c r="C134">
        <v>0.44800000000000001</v>
      </c>
      <c r="D134">
        <v>0.72099999999999997</v>
      </c>
      <c r="E134">
        <v>334.92399999999998</v>
      </c>
      <c r="F134">
        <v>101325</v>
      </c>
      <c r="G134" t="s">
        <v>5</v>
      </c>
      <c r="H134">
        <v>0.73742890000000005</v>
      </c>
      <c r="I134">
        <f t="shared" si="10"/>
        <v>2.2786269070735199</v>
      </c>
      <c r="J134">
        <v>332.79300000000001</v>
      </c>
      <c r="K134">
        <f t="shared" si="9"/>
        <v>0.63626374938791253</v>
      </c>
    </row>
    <row r="135" spans="1:13" x14ac:dyDescent="0.4">
      <c r="A135" t="s">
        <v>14</v>
      </c>
      <c r="B135" t="s">
        <v>15</v>
      </c>
      <c r="C135">
        <v>0.499</v>
      </c>
      <c r="D135">
        <v>0.76400000000000001</v>
      </c>
      <c r="E135">
        <v>333.42399999999998</v>
      </c>
      <c r="F135">
        <v>101325</v>
      </c>
      <c r="G135" t="s">
        <v>5</v>
      </c>
      <c r="H135">
        <v>0.77447429999999995</v>
      </c>
      <c r="I135">
        <f t="shared" si="10"/>
        <v>1.3709816753926618</v>
      </c>
      <c r="J135">
        <v>331.31608999999997</v>
      </c>
      <c r="K135">
        <f t="shared" si="9"/>
        <v>0.63220104131676302</v>
      </c>
    </row>
    <row r="136" spans="1:13" x14ac:dyDescent="0.4">
      <c r="A136" t="s">
        <v>14</v>
      </c>
      <c r="B136" t="s">
        <v>15</v>
      </c>
      <c r="C136">
        <v>0.51500000000000001</v>
      </c>
      <c r="D136">
        <v>0.78900000000000003</v>
      </c>
      <c r="E136">
        <v>332.52420000000001</v>
      </c>
      <c r="F136">
        <v>101325</v>
      </c>
      <c r="G136" t="s">
        <v>5</v>
      </c>
      <c r="H136">
        <v>0.78509589999999996</v>
      </c>
      <c r="I136">
        <f t="shared" si="10"/>
        <v>0.49481622306718337</v>
      </c>
      <c r="J136">
        <v>330.87601999999998</v>
      </c>
      <c r="K136">
        <f t="shared" si="9"/>
        <v>0.49565715818578759</v>
      </c>
    </row>
    <row r="137" spans="1:13" x14ac:dyDescent="0.4">
      <c r="A137" t="s">
        <v>14</v>
      </c>
      <c r="B137" t="s">
        <v>15</v>
      </c>
      <c r="C137">
        <v>0.65</v>
      </c>
      <c r="D137">
        <v>0.86699999999999999</v>
      </c>
      <c r="E137">
        <v>328.92529999999999</v>
      </c>
      <c r="F137">
        <v>101325</v>
      </c>
      <c r="G137" t="s">
        <v>5</v>
      </c>
      <c r="H137">
        <v>0.85949089999999995</v>
      </c>
      <c r="I137">
        <f t="shared" si="10"/>
        <v>0.86610149942330417</v>
      </c>
      <c r="J137">
        <v>327.58715999999998</v>
      </c>
      <c r="K137">
        <f t="shared" si="9"/>
        <v>0.40682185286446793</v>
      </c>
    </row>
    <row r="138" spans="1:13" x14ac:dyDescent="0.4">
      <c r="A138" t="s">
        <v>14</v>
      </c>
      <c r="B138" t="s">
        <v>15</v>
      </c>
      <c r="C138">
        <v>0.84399999999999997</v>
      </c>
      <c r="D138">
        <v>0.94</v>
      </c>
      <c r="E138">
        <v>323.82679999999999</v>
      </c>
      <c r="F138">
        <v>101325</v>
      </c>
      <c r="G138" t="s">
        <v>5</v>
      </c>
      <c r="H138">
        <v>0.93522989999999995</v>
      </c>
      <c r="I138">
        <f t="shared" si="10"/>
        <v>0.50745744680851068</v>
      </c>
      <c r="J138">
        <v>324.09983999999997</v>
      </c>
      <c r="K138">
        <f t="shared" si="9"/>
        <v>8.4316677927824518E-2</v>
      </c>
    </row>
    <row r="139" spans="1:13" x14ac:dyDescent="0.4">
      <c r="A139" t="s">
        <v>14</v>
      </c>
      <c r="B139" t="s">
        <v>15</v>
      </c>
      <c r="C139">
        <v>0.94099999999999995</v>
      </c>
      <c r="D139">
        <v>0.97499999999999998</v>
      </c>
      <c r="E139">
        <v>322.22730000000001</v>
      </c>
      <c r="F139">
        <v>101325</v>
      </c>
      <c r="G139" t="s">
        <v>5</v>
      </c>
      <c r="H139">
        <v>0.97035919999999998</v>
      </c>
      <c r="I139">
        <f t="shared" si="10"/>
        <v>0.47597948717948729</v>
      </c>
      <c r="J139">
        <v>322.81434999999999</v>
      </c>
      <c r="K139">
        <f t="shared" si="9"/>
        <v>0.18218506004921883</v>
      </c>
    </row>
    <row r="140" spans="1:13" x14ac:dyDescent="0.4">
      <c r="A140" t="s">
        <v>14</v>
      </c>
      <c r="B140" t="s">
        <v>15</v>
      </c>
      <c r="C140">
        <v>1</v>
      </c>
      <c r="D140">
        <v>1</v>
      </c>
      <c r="E140">
        <v>321.02760000000001</v>
      </c>
      <c r="F140">
        <v>101325</v>
      </c>
      <c r="G140" t="s">
        <v>5</v>
      </c>
      <c r="H140">
        <v>1</v>
      </c>
      <c r="J140">
        <v>322.14274999999998</v>
      </c>
      <c r="K140">
        <f t="shared" si="9"/>
        <v>0.3473688866626955</v>
      </c>
    </row>
    <row r="141" spans="1:13" x14ac:dyDescent="0.4">
      <c r="A141" t="s">
        <v>16</v>
      </c>
      <c r="B141" t="s">
        <v>31</v>
      </c>
      <c r="C141">
        <v>0</v>
      </c>
      <c r="D141">
        <v>0</v>
      </c>
      <c r="E141">
        <v>273.14999999999998</v>
      </c>
      <c r="F141">
        <v>133000</v>
      </c>
      <c r="G141" t="s">
        <v>4</v>
      </c>
      <c r="H141">
        <v>0</v>
      </c>
      <c r="L141">
        <v>132400.79999999999</v>
      </c>
      <c r="M141">
        <f t="shared" ref="M141:M151" si="11">100*ABS((L141-F141)/F141)</f>
        <v>0.45052631578948243</v>
      </c>
    </row>
    <row r="142" spans="1:13" x14ac:dyDescent="0.4">
      <c r="A142" t="s">
        <v>30</v>
      </c>
      <c r="B142" t="s">
        <v>17</v>
      </c>
      <c r="C142">
        <v>2.98E-2</v>
      </c>
      <c r="D142">
        <v>0.25779999999999997</v>
      </c>
      <c r="E142">
        <v>273.14999999999998</v>
      </c>
      <c r="F142">
        <v>172000</v>
      </c>
      <c r="G142" t="s">
        <v>4</v>
      </c>
      <c r="H142">
        <v>0.19074199999999999</v>
      </c>
      <c r="I142">
        <f t="shared" si="10"/>
        <v>26.01163692785104</v>
      </c>
      <c r="L142">
        <v>160256</v>
      </c>
      <c r="M142">
        <f t="shared" si="11"/>
        <v>6.8279069767441856</v>
      </c>
    </row>
    <row r="143" spans="1:13" x14ac:dyDescent="0.4">
      <c r="A143" t="s">
        <v>16</v>
      </c>
      <c r="B143" t="s">
        <v>17</v>
      </c>
      <c r="C143">
        <v>4.5400000000000003E-2</v>
      </c>
      <c r="D143">
        <v>0.34770000000000001</v>
      </c>
      <c r="E143">
        <v>273.14999999999998</v>
      </c>
      <c r="F143">
        <v>194000</v>
      </c>
      <c r="G143" t="s">
        <v>4</v>
      </c>
      <c r="H143">
        <v>0.26345950000000001</v>
      </c>
      <c r="I143">
        <f t="shared" si="10"/>
        <v>24.227926373310325</v>
      </c>
      <c r="L143">
        <v>174147</v>
      </c>
      <c r="M143">
        <f t="shared" si="11"/>
        <v>10.233505154639175</v>
      </c>
    </row>
    <row r="144" spans="1:13" x14ac:dyDescent="0.4">
      <c r="A144" t="s">
        <v>16</v>
      </c>
      <c r="B144" t="s">
        <v>17</v>
      </c>
      <c r="C144">
        <v>8.6999999999999994E-2</v>
      </c>
      <c r="D144">
        <v>0.4415</v>
      </c>
      <c r="E144">
        <v>273.14999999999998</v>
      </c>
      <c r="F144">
        <v>237000</v>
      </c>
      <c r="G144" t="s">
        <v>4</v>
      </c>
      <c r="H144">
        <v>0.40450920000000001</v>
      </c>
      <c r="I144">
        <f t="shared" si="10"/>
        <v>8.3784371460928622</v>
      </c>
      <c r="L144">
        <v>209028.9</v>
      </c>
      <c r="M144">
        <f t="shared" si="11"/>
        <v>11.802151898734179</v>
      </c>
    </row>
    <row r="145" spans="1:13" x14ac:dyDescent="0.4">
      <c r="A145" t="s">
        <v>16</v>
      </c>
      <c r="B145" t="s">
        <v>17</v>
      </c>
      <c r="C145">
        <v>0.15459999999999999</v>
      </c>
      <c r="D145">
        <v>0.57410000000000005</v>
      </c>
      <c r="E145">
        <v>273.14999999999998</v>
      </c>
      <c r="F145">
        <v>294000</v>
      </c>
      <c r="G145" t="s">
        <v>4</v>
      </c>
      <c r="H145">
        <v>0.54433370000000003</v>
      </c>
      <c r="I145">
        <f t="shared" si="10"/>
        <v>5.1848632642396826</v>
      </c>
      <c r="L145">
        <v>259676.6</v>
      </c>
      <c r="M145">
        <f t="shared" si="11"/>
        <v>11.674625850340133</v>
      </c>
    </row>
    <row r="146" spans="1:13" x14ac:dyDescent="0.4">
      <c r="A146" t="s">
        <v>16</v>
      </c>
      <c r="B146" t="s">
        <v>17</v>
      </c>
      <c r="C146">
        <v>0.2185</v>
      </c>
      <c r="D146">
        <v>0.64600000000000002</v>
      </c>
      <c r="E146">
        <v>273.14999999999998</v>
      </c>
      <c r="F146">
        <v>337000</v>
      </c>
      <c r="G146" t="s">
        <v>4</v>
      </c>
      <c r="H146">
        <v>0.62699229999999995</v>
      </c>
      <c r="I146">
        <f t="shared" si="10"/>
        <v>2.9423684210526426</v>
      </c>
      <c r="L146">
        <v>301654.3</v>
      </c>
      <c r="M146">
        <f t="shared" si="11"/>
        <v>10.488338278931755</v>
      </c>
    </row>
    <row r="147" spans="1:13" x14ac:dyDescent="0.4">
      <c r="A147" t="s">
        <v>16</v>
      </c>
      <c r="B147" t="s">
        <v>17</v>
      </c>
      <c r="C147">
        <v>0.30709999999999998</v>
      </c>
      <c r="D147">
        <v>0.70730000000000004</v>
      </c>
      <c r="E147">
        <v>273.14999999999998</v>
      </c>
      <c r="F147">
        <v>383000</v>
      </c>
      <c r="G147" t="s">
        <v>4</v>
      </c>
      <c r="H147">
        <v>0.70347930000000003</v>
      </c>
      <c r="I147">
        <f t="shared" si="10"/>
        <v>0.54018096988548137</v>
      </c>
      <c r="L147">
        <v>352141.7</v>
      </c>
      <c r="M147">
        <f t="shared" si="11"/>
        <v>8.0569973890339384</v>
      </c>
    </row>
    <row r="148" spans="1:13" x14ac:dyDescent="0.4">
      <c r="A148" t="s">
        <v>16</v>
      </c>
      <c r="B148" t="s">
        <v>17</v>
      </c>
      <c r="C148">
        <v>0.37680000000000002</v>
      </c>
      <c r="D148">
        <v>0.73350000000000004</v>
      </c>
      <c r="E148">
        <v>273.14999999999998</v>
      </c>
      <c r="F148">
        <v>413000</v>
      </c>
      <c r="G148" t="s">
        <v>4</v>
      </c>
      <c r="H148">
        <v>0.74687210000000004</v>
      </c>
      <c r="I148">
        <f t="shared" si="10"/>
        <v>1.8230538513974093</v>
      </c>
      <c r="L148">
        <v>386831.9</v>
      </c>
      <c r="M148">
        <f t="shared" si="11"/>
        <v>6.3361016949152482</v>
      </c>
    </row>
    <row r="149" spans="1:13" x14ac:dyDescent="0.4">
      <c r="A149" t="s">
        <v>16</v>
      </c>
      <c r="B149" t="s">
        <v>17</v>
      </c>
      <c r="C149">
        <v>0.51990000000000003</v>
      </c>
      <c r="D149">
        <v>0.79179999999999995</v>
      </c>
      <c r="E149">
        <v>273.14999999999998</v>
      </c>
      <c r="F149">
        <v>468000</v>
      </c>
      <c r="G149" t="s">
        <v>4</v>
      </c>
      <c r="H149">
        <v>0.81317209999999995</v>
      </c>
      <c r="I149">
        <f t="shared" si="10"/>
        <v>2.6991790856276845</v>
      </c>
      <c r="L149">
        <v>448200.3</v>
      </c>
      <c r="M149">
        <f t="shared" si="11"/>
        <v>4.2307051282051304</v>
      </c>
    </row>
    <row r="150" spans="1:13" x14ac:dyDescent="0.4">
      <c r="A150" t="s">
        <v>16</v>
      </c>
      <c r="B150" t="s">
        <v>17</v>
      </c>
      <c r="C150">
        <v>0.68889999999999996</v>
      </c>
      <c r="D150">
        <v>0.85209999999999997</v>
      </c>
      <c r="E150">
        <v>273.14999999999998</v>
      </c>
      <c r="F150">
        <v>525000</v>
      </c>
      <c r="G150" t="s">
        <v>4</v>
      </c>
      <c r="H150">
        <v>0.87514879999999995</v>
      </c>
      <c r="I150">
        <f t="shared" si="10"/>
        <v>2.7049407346555547</v>
      </c>
      <c r="L150">
        <v>510652.1</v>
      </c>
      <c r="M150">
        <f t="shared" si="11"/>
        <v>2.7329333333333379</v>
      </c>
    </row>
    <row r="151" spans="1:13" x14ac:dyDescent="0.4">
      <c r="A151" t="s">
        <v>16</v>
      </c>
      <c r="B151" t="s">
        <v>17</v>
      </c>
      <c r="C151">
        <v>0.84399999999999997</v>
      </c>
      <c r="D151">
        <v>0.9254</v>
      </c>
      <c r="E151">
        <v>273.14999999999998</v>
      </c>
      <c r="F151">
        <v>571000</v>
      </c>
      <c r="G151" t="s">
        <v>4</v>
      </c>
      <c r="H151">
        <v>0.93144300000000002</v>
      </c>
      <c r="I151">
        <f t="shared" si="10"/>
        <v>0.65301491247028542</v>
      </c>
      <c r="L151">
        <v>564612.30000000005</v>
      </c>
      <c r="M151">
        <f t="shared" si="11"/>
        <v>1.1186865148861564</v>
      </c>
    </row>
    <row r="152" spans="1:13" x14ac:dyDescent="0.4">
      <c r="A152" t="s">
        <v>16</v>
      </c>
      <c r="B152" t="s">
        <v>17</v>
      </c>
      <c r="C152">
        <v>1</v>
      </c>
      <c r="D152">
        <v>1</v>
      </c>
      <c r="E152">
        <v>273.14999999999998</v>
      </c>
      <c r="F152">
        <v>626000</v>
      </c>
      <c r="G152" t="s">
        <v>4</v>
      </c>
      <c r="H152">
        <v>1</v>
      </c>
      <c r="L152">
        <v>619297.69999999995</v>
      </c>
      <c r="M152">
        <f>100*ABS((L152-F152)/F152)</f>
        <v>1.0706549520766848</v>
      </c>
    </row>
  </sheetData>
  <autoFilter ref="A1:M152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黎叙锐</dc:creator>
  <cp:lastModifiedBy>叙锐 黎</cp:lastModifiedBy>
  <dcterms:created xsi:type="dcterms:W3CDTF">2015-06-05T18:19:34Z</dcterms:created>
  <dcterms:modified xsi:type="dcterms:W3CDTF">2025-09-27T15:36:17Z</dcterms:modified>
</cp:coreProperties>
</file>