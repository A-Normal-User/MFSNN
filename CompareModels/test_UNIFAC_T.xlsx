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test\"/>
    </mc:Choice>
  </mc:AlternateContent>
  <xr:revisionPtr revIDLastSave="0" documentId="13_ncr:1_{709E8477-DB01-4A22-A9C8-F230BCF164C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I40" i="1"/>
  <c r="K40" i="1"/>
  <c r="I41" i="1"/>
  <c r="K41" i="1"/>
  <c r="I42" i="1"/>
  <c r="K42" i="1"/>
  <c r="I43" i="1"/>
  <c r="K43" i="1"/>
  <c r="I44" i="1"/>
  <c r="K44" i="1"/>
  <c r="I45" i="1"/>
  <c r="K45" i="1"/>
  <c r="I46" i="1"/>
  <c r="K46" i="1"/>
  <c r="I47" i="1"/>
  <c r="K47" i="1"/>
  <c r="I48" i="1"/>
  <c r="K48" i="1"/>
  <c r="I49" i="1"/>
  <c r="K49" i="1"/>
  <c r="I50" i="1"/>
  <c r="K50" i="1"/>
  <c r="I51" i="1"/>
  <c r="K51" i="1"/>
  <c r="I52" i="1"/>
  <c r="K52" i="1"/>
  <c r="I53" i="1"/>
  <c r="K53" i="1"/>
  <c r="K54" i="1"/>
  <c r="I55" i="1"/>
  <c r="K55" i="1"/>
  <c r="I56" i="1"/>
  <c r="K56" i="1"/>
  <c r="I57" i="1"/>
  <c r="K57" i="1"/>
  <c r="I58" i="1"/>
  <c r="K58" i="1"/>
  <c r="I59" i="1"/>
  <c r="K59" i="1"/>
  <c r="I60" i="1"/>
  <c r="K60" i="1"/>
  <c r="I61" i="1"/>
  <c r="K61" i="1"/>
  <c r="I62" i="1"/>
  <c r="K62" i="1"/>
  <c r="I63" i="1"/>
  <c r="K63" i="1"/>
  <c r="I64" i="1"/>
  <c r="K64" i="1"/>
  <c r="I65" i="1"/>
  <c r="K65" i="1"/>
  <c r="I66" i="1"/>
  <c r="K66" i="1"/>
  <c r="I67" i="1"/>
  <c r="K67" i="1"/>
  <c r="I68" i="1"/>
  <c r="K68" i="1"/>
  <c r="I69" i="1"/>
  <c r="K69" i="1"/>
  <c r="I70" i="1"/>
  <c r="K70" i="1"/>
  <c r="I71" i="1"/>
  <c r="K71" i="1"/>
  <c r="I72" i="1"/>
  <c r="K72" i="1"/>
  <c r="I73" i="1"/>
  <c r="K73" i="1"/>
  <c r="I74" i="1"/>
  <c r="K74" i="1"/>
  <c r="I75" i="1"/>
  <c r="K75" i="1"/>
  <c r="K76" i="1"/>
  <c r="I77" i="1"/>
  <c r="K77" i="1"/>
  <c r="I78" i="1"/>
  <c r="K78" i="1"/>
  <c r="I79" i="1"/>
  <c r="K79" i="1"/>
  <c r="I80" i="1"/>
  <c r="K80" i="1"/>
  <c r="I81" i="1"/>
  <c r="K81" i="1"/>
  <c r="I82" i="1"/>
  <c r="K82" i="1"/>
  <c r="I83" i="1"/>
  <c r="K83" i="1"/>
  <c r="I84" i="1"/>
  <c r="K84" i="1"/>
  <c r="I85" i="1"/>
  <c r="K85" i="1"/>
  <c r="I86" i="1"/>
  <c r="K86" i="1"/>
  <c r="I87" i="1"/>
  <c r="K87" i="1"/>
  <c r="I88" i="1"/>
  <c r="K88" i="1"/>
  <c r="I89" i="1"/>
  <c r="K89" i="1"/>
  <c r="I90" i="1"/>
  <c r="K90" i="1"/>
  <c r="I91" i="1"/>
  <c r="K91" i="1"/>
  <c r="I92" i="1"/>
  <c r="K92" i="1"/>
  <c r="I93" i="1"/>
  <c r="K93" i="1"/>
  <c r="I94" i="1"/>
  <c r="K94" i="1"/>
  <c r="I95" i="1"/>
  <c r="K95" i="1"/>
  <c r="I96" i="1"/>
  <c r="K96" i="1"/>
  <c r="I97" i="1"/>
  <c r="K97" i="1"/>
  <c r="M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K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</calcChain>
</file>

<file path=xl/sharedStrings.xml><?xml version="1.0" encoding="utf-8"?>
<sst xmlns="http://schemas.openxmlformats.org/spreadsheetml/2006/main" count="400" uniqueCount="26">
  <si>
    <t>mol1</t>
    <phoneticPr fontId="1" type="noConversion"/>
  </si>
  <si>
    <t>mol2</t>
    <phoneticPr fontId="1" type="noConversion"/>
  </si>
  <si>
    <t>x1</t>
    <phoneticPr fontId="1" type="noConversion"/>
  </si>
  <si>
    <t>y1</t>
    <phoneticPr fontId="1" type="noConversion"/>
  </si>
  <si>
    <t>T</t>
    <phoneticPr fontId="1" type="noConversion"/>
  </si>
  <si>
    <t>P</t>
    <phoneticPr fontId="1" type="noConversion"/>
  </si>
  <si>
    <t>N-HEXANE</t>
  </si>
  <si>
    <t>METHANOL</t>
  </si>
  <si>
    <t>tag</t>
    <phoneticPr fontId="1" type="noConversion"/>
  </si>
  <si>
    <t>y_pred</t>
    <phoneticPr fontId="1" type="noConversion"/>
  </si>
  <si>
    <t>y_aard</t>
    <phoneticPr fontId="1" type="noConversion"/>
  </si>
  <si>
    <t>T_pred</t>
    <phoneticPr fontId="1" type="noConversion"/>
  </si>
  <si>
    <t>T_aard</t>
    <phoneticPr fontId="1" type="noConversion"/>
  </si>
  <si>
    <t>P_pred</t>
    <phoneticPr fontId="1" type="noConversion"/>
  </si>
  <si>
    <t>P_aard</t>
    <phoneticPr fontId="1" type="noConversion"/>
  </si>
  <si>
    <t>PYRIDINE</t>
    <phoneticPr fontId="1" type="noConversion"/>
  </si>
  <si>
    <t>ISOBUTANOL</t>
  </si>
  <si>
    <t>PYRIDINE</t>
  </si>
  <si>
    <t>1,4-DIOXANE</t>
  </si>
  <si>
    <t>1,4-DIOXANE</t>
    <phoneticPr fontId="1" type="noConversion"/>
  </si>
  <si>
    <t>P</t>
  </si>
  <si>
    <t>2-BUTANOL</t>
  </si>
  <si>
    <t>CHLOROFORM</t>
  </si>
  <si>
    <t>1-PROPANOL</t>
  </si>
  <si>
    <t>BENZENE</t>
  </si>
  <si>
    <t>PERFLUOROBENZENE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</si>
</sst>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3.9" x14ac:dyDescent="0.4"/>
  <cols>
    <col min="1" max="1" width="23.265625" bestFit="1" customWidth="1"/>
    <col min="2" max="2" width="19.1328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4">
      <c r="A2" t="s">
        <v>15</v>
      </c>
      <c r="B2" t="s">
        <v>16</v>
      </c>
      <c r="C2">
        <v>0</v>
      </c>
      <c r="D2">
        <v>0</v>
      </c>
      <c r="E2">
        <v>375</v>
      </c>
      <c r="F2">
        <v>81500</v>
      </c>
      <c r="G2" t="s">
        <v>5</v>
      </c>
      <c r="H2">
        <v>0</v>
      </c>
      <c r="I2">
        <v>0</v>
      </c>
      <c r="J2">
        <v>375.02010000000001</v>
      </c>
      <c r="K2">
        <f t="shared" ref="K2:K15" si="0">100*ABS((J2-E2)/E2)</f>
        <v>5.3600000000036136E-3</v>
      </c>
    </row>
    <row r="3" spans="1:13" x14ac:dyDescent="0.4">
      <c r="A3" t="s">
        <v>17</v>
      </c>
      <c r="B3" t="s">
        <v>16</v>
      </c>
      <c r="C3">
        <v>3.4000000000000002E-2</v>
      </c>
      <c r="D3">
        <v>2.3E-2</v>
      </c>
      <c r="E3">
        <v>375.3</v>
      </c>
      <c r="F3">
        <v>81500</v>
      </c>
      <c r="G3" t="s">
        <v>5</v>
      </c>
      <c r="H3">
        <v>1.45948E-2</v>
      </c>
      <c r="I3">
        <f t="shared" ref="I3:I14" si="1">100*ABS((H3-D3)/D3)</f>
        <v>36.544347826086955</v>
      </c>
      <c r="J3">
        <v>375.60180000000003</v>
      </c>
      <c r="K3">
        <f t="shared" si="0"/>
        <v>8.0415667466030988E-2</v>
      </c>
    </row>
    <row r="4" spans="1:13" x14ac:dyDescent="0.4">
      <c r="A4" t="s">
        <v>17</v>
      </c>
      <c r="B4" t="s">
        <v>16</v>
      </c>
      <c r="C4">
        <v>0.106</v>
      </c>
      <c r="D4">
        <v>7.4999999999999997E-2</v>
      </c>
      <c r="E4">
        <v>376</v>
      </c>
      <c r="F4">
        <v>81500</v>
      </c>
      <c r="G4" t="s">
        <v>5</v>
      </c>
      <c r="H4">
        <v>5.7427199999999998E-2</v>
      </c>
      <c r="I4">
        <f t="shared" si="1"/>
        <v>23.430400000000002</v>
      </c>
      <c r="J4">
        <v>376.8698</v>
      </c>
      <c r="K4">
        <f t="shared" si="0"/>
        <v>0.23132978723404202</v>
      </c>
    </row>
    <row r="5" spans="1:13" x14ac:dyDescent="0.4">
      <c r="A5" t="s">
        <v>17</v>
      </c>
      <c r="B5" t="s">
        <v>16</v>
      </c>
      <c r="C5">
        <v>0.16900000000000001</v>
      </c>
      <c r="D5">
        <v>0.126</v>
      </c>
      <c r="E5">
        <v>376.6</v>
      </c>
      <c r="F5">
        <v>81500</v>
      </c>
      <c r="G5" t="s">
        <v>5</v>
      </c>
      <c r="H5">
        <v>0.10771799999999999</v>
      </c>
      <c r="I5">
        <f t="shared" si="1"/>
        <v>14.509523809523813</v>
      </c>
      <c r="J5">
        <v>377.91719999999998</v>
      </c>
      <c r="K5">
        <f t="shared" si="0"/>
        <v>0.34976101964948408</v>
      </c>
    </row>
    <row r="6" spans="1:13" x14ac:dyDescent="0.4">
      <c r="A6" t="s">
        <v>17</v>
      </c>
      <c r="B6" t="s">
        <v>16</v>
      </c>
      <c r="C6">
        <v>0.32600000000000001</v>
      </c>
      <c r="D6">
        <v>0.27200000000000002</v>
      </c>
      <c r="E6">
        <v>377.8</v>
      </c>
      <c r="F6">
        <v>81500</v>
      </c>
      <c r="G6" t="s">
        <v>5</v>
      </c>
      <c r="H6">
        <v>0.27254250000000002</v>
      </c>
      <c r="I6">
        <f t="shared" si="1"/>
        <v>0.19944852941176519</v>
      </c>
      <c r="J6">
        <v>379.88709999999998</v>
      </c>
      <c r="K6">
        <f t="shared" si="0"/>
        <v>0.55243515087346851</v>
      </c>
    </row>
    <row r="7" spans="1:13" x14ac:dyDescent="0.4">
      <c r="A7" t="s">
        <v>17</v>
      </c>
      <c r="B7" t="s">
        <v>16</v>
      </c>
      <c r="C7">
        <v>0.46800000000000003</v>
      </c>
      <c r="D7">
        <v>0.41899999999999998</v>
      </c>
      <c r="E7">
        <v>378.9</v>
      </c>
      <c r="F7">
        <v>81500</v>
      </c>
      <c r="G7" t="s">
        <v>5</v>
      </c>
      <c r="H7">
        <v>0.44292789999999999</v>
      </c>
      <c r="I7">
        <f t="shared" si="1"/>
        <v>5.710715990453461</v>
      </c>
      <c r="J7">
        <v>380.77249999999998</v>
      </c>
      <c r="K7">
        <f t="shared" si="0"/>
        <v>0.49419371865927747</v>
      </c>
    </row>
    <row r="8" spans="1:13" x14ac:dyDescent="0.4">
      <c r="A8" t="s">
        <v>17</v>
      </c>
      <c r="B8" t="s">
        <v>16</v>
      </c>
      <c r="C8">
        <v>0.54700000000000004</v>
      </c>
      <c r="D8">
        <v>0.503</v>
      </c>
      <c r="E8">
        <v>379.4</v>
      </c>
      <c r="F8">
        <v>81500</v>
      </c>
      <c r="G8" t="s">
        <v>5</v>
      </c>
      <c r="H8">
        <v>0.53615970000000002</v>
      </c>
      <c r="I8">
        <f t="shared" si="1"/>
        <v>6.5923856858846941</v>
      </c>
      <c r="J8">
        <v>380.97199999999998</v>
      </c>
      <c r="K8">
        <f t="shared" si="0"/>
        <v>0.41433842909857743</v>
      </c>
    </row>
    <row r="9" spans="1:13" x14ac:dyDescent="0.4">
      <c r="A9" t="s">
        <v>17</v>
      </c>
      <c r="B9" t="s">
        <v>16</v>
      </c>
      <c r="C9">
        <v>0.59699999999999998</v>
      </c>
      <c r="D9">
        <v>0.55900000000000005</v>
      </c>
      <c r="E9">
        <v>379.8</v>
      </c>
      <c r="F9">
        <v>81500</v>
      </c>
      <c r="G9" t="s">
        <v>5</v>
      </c>
      <c r="H9">
        <v>0.59295659999999994</v>
      </c>
      <c r="I9">
        <f t="shared" si="1"/>
        <v>6.0745259391770823</v>
      </c>
      <c r="J9">
        <v>381.02339999999998</v>
      </c>
      <c r="K9">
        <f t="shared" si="0"/>
        <v>0.32211690363348328</v>
      </c>
    </row>
    <row r="10" spans="1:13" x14ac:dyDescent="0.4">
      <c r="A10" t="s">
        <v>17</v>
      </c>
      <c r="B10" t="s">
        <v>16</v>
      </c>
      <c r="C10">
        <v>0.64400000000000002</v>
      </c>
      <c r="D10">
        <v>0.61199999999999999</v>
      </c>
      <c r="E10">
        <v>380</v>
      </c>
      <c r="F10">
        <v>81500</v>
      </c>
      <c r="G10" t="s">
        <v>5</v>
      </c>
      <c r="H10">
        <v>0.64447529999999997</v>
      </c>
      <c r="I10">
        <f t="shared" si="1"/>
        <v>5.3064215686274485</v>
      </c>
      <c r="J10">
        <v>381.03440000000001</v>
      </c>
      <c r="K10">
        <f t="shared" si="0"/>
        <v>0.27221052631579079</v>
      </c>
    </row>
    <row r="11" spans="1:13" x14ac:dyDescent="0.4">
      <c r="A11" t="s">
        <v>17</v>
      </c>
      <c r="B11" t="s">
        <v>16</v>
      </c>
      <c r="C11">
        <v>0.69199999999999995</v>
      </c>
      <c r="D11">
        <v>0.66500000000000004</v>
      </c>
      <c r="E11">
        <v>380.2</v>
      </c>
      <c r="F11">
        <v>81500</v>
      </c>
      <c r="G11" t="s">
        <v>5</v>
      </c>
      <c r="H11">
        <v>0.6951986</v>
      </c>
      <c r="I11">
        <f t="shared" si="1"/>
        <v>4.5411428571428516</v>
      </c>
      <c r="J11">
        <v>381.02</v>
      </c>
      <c r="K11">
        <f t="shared" si="0"/>
        <v>0.21567596002103978</v>
      </c>
    </row>
    <row r="12" spans="1:13" x14ac:dyDescent="0.4">
      <c r="A12" t="s">
        <v>17</v>
      </c>
      <c r="B12" t="s">
        <v>16</v>
      </c>
      <c r="C12">
        <v>0.746</v>
      </c>
      <c r="D12">
        <v>0.72599999999999998</v>
      </c>
      <c r="E12">
        <v>380.3</v>
      </c>
      <c r="F12">
        <v>81500</v>
      </c>
      <c r="G12" t="s">
        <v>5</v>
      </c>
      <c r="H12">
        <v>0.75017780000000001</v>
      </c>
      <c r="I12">
        <f t="shared" si="1"/>
        <v>3.3302754820936675</v>
      </c>
      <c r="J12">
        <v>380.98649999999998</v>
      </c>
      <c r="K12">
        <f t="shared" si="0"/>
        <v>0.18051538259268124</v>
      </c>
    </row>
    <row r="13" spans="1:13" x14ac:dyDescent="0.4">
      <c r="A13" t="s">
        <v>17</v>
      </c>
      <c r="B13" t="s">
        <v>16</v>
      </c>
      <c r="C13">
        <v>0.78</v>
      </c>
      <c r="D13">
        <v>0.76500000000000001</v>
      </c>
      <c r="E13">
        <v>380.5</v>
      </c>
      <c r="F13">
        <v>81500</v>
      </c>
      <c r="G13" t="s">
        <v>5</v>
      </c>
      <c r="H13">
        <v>0.78385439999999995</v>
      </c>
      <c r="I13">
        <f t="shared" si="1"/>
        <v>2.4646274509803843</v>
      </c>
      <c r="J13">
        <v>380.96210000000002</v>
      </c>
      <c r="K13">
        <f t="shared" si="0"/>
        <v>0.12144546649146407</v>
      </c>
    </row>
    <row r="14" spans="1:13" x14ac:dyDescent="0.4">
      <c r="A14" t="s">
        <v>17</v>
      </c>
      <c r="B14" t="s">
        <v>16</v>
      </c>
      <c r="C14">
        <v>0.86699999999999999</v>
      </c>
      <c r="D14">
        <v>0.86</v>
      </c>
      <c r="E14">
        <v>380.7</v>
      </c>
      <c r="F14">
        <v>81500</v>
      </c>
      <c r="G14" t="s">
        <v>5</v>
      </c>
      <c r="H14">
        <v>0.8680776</v>
      </c>
      <c r="I14">
        <f t="shared" si="1"/>
        <v>0.93925581395349045</v>
      </c>
      <c r="J14">
        <v>380.91379999999998</v>
      </c>
      <c r="K14">
        <f t="shared" si="0"/>
        <v>5.6159705805093781E-2</v>
      </c>
    </row>
    <row r="15" spans="1:13" x14ac:dyDescent="0.4">
      <c r="A15" t="s">
        <v>17</v>
      </c>
      <c r="B15" t="s">
        <v>16</v>
      </c>
      <c r="C15">
        <v>1</v>
      </c>
      <c r="D15">
        <v>1</v>
      </c>
      <c r="E15">
        <v>381</v>
      </c>
      <c r="F15">
        <v>81500</v>
      </c>
      <c r="G15" t="s">
        <v>5</v>
      </c>
      <c r="H15">
        <v>1</v>
      </c>
      <c r="I15">
        <v>0</v>
      </c>
      <c r="J15">
        <v>380.98989999999998</v>
      </c>
      <c r="K15">
        <f t="shared" si="0"/>
        <v>2.6509186351765476E-3</v>
      </c>
    </row>
    <row r="16" spans="1:13" x14ac:dyDescent="0.4">
      <c r="A16" t="s">
        <v>6</v>
      </c>
      <c r="B16" t="s">
        <v>18</v>
      </c>
      <c r="C16">
        <v>0</v>
      </c>
      <c r="D16">
        <v>0</v>
      </c>
      <c r="E16">
        <v>308.14999999999998</v>
      </c>
      <c r="F16">
        <v>7899</v>
      </c>
      <c r="G16" t="s">
        <v>4</v>
      </c>
      <c r="H16">
        <v>0</v>
      </c>
      <c r="I16">
        <v>0</v>
      </c>
      <c r="L16">
        <v>8279.2900000000009</v>
      </c>
      <c r="M16">
        <f t="shared" ref="M16:M39" si="2">100*ABS((L16-F16)/F16)</f>
        <v>4.8144068869477259</v>
      </c>
    </row>
    <row r="17" spans="1:13" x14ac:dyDescent="0.4">
      <c r="A17" t="s">
        <v>6</v>
      </c>
      <c r="B17" t="s">
        <v>18</v>
      </c>
      <c r="C17">
        <v>2.3800000000000002E-2</v>
      </c>
      <c r="D17">
        <v>0.29699999999999999</v>
      </c>
      <c r="E17">
        <v>308.14999999999998</v>
      </c>
      <c r="F17">
        <v>11055</v>
      </c>
      <c r="G17" t="s">
        <v>4</v>
      </c>
      <c r="H17">
        <v>0.22369230000000001</v>
      </c>
      <c r="I17">
        <f t="shared" ref="I17:I38" si="3">100*ABS((H17-D17)/D17)</f>
        <v>24.682727272727263</v>
      </c>
      <c r="L17">
        <v>10429.48</v>
      </c>
      <c r="M17">
        <f t="shared" si="2"/>
        <v>5.6582541836273217</v>
      </c>
    </row>
    <row r="18" spans="1:13" x14ac:dyDescent="0.4">
      <c r="A18" t="s">
        <v>6</v>
      </c>
      <c r="B18" t="s">
        <v>19</v>
      </c>
      <c r="C18">
        <v>5.21E-2</v>
      </c>
      <c r="D18">
        <v>0.4471</v>
      </c>
      <c r="E18">
        <v>308.14999999999998</v>
      </c>
      <c r="F18">
        <v>14094</v>
      </c>
      <c r="G18" t="s">
        <v>4</v>
      </c>
      <c r="H18">
        <v>0.37367050000000002</v>
      </c>
      <c r="I18">
        <f t="shared" si="3"/>
        <v>16.42350704540371</v>
      </c>
      <c r="L18">
        <v>12604.08</v>
      </c>
      <c r="M18">
        <f t="shared" si="2"/>
        <v>10.571306939123032</v>
      </c>
    </row>
    <row r="19" spans="1:13" x14ac:dyDescent="0.4">
      <c r="A19" t="s">
        <v>6</v>
      </c>
      <c r="B19" t="s">
        <v>18</v>
      </c>
      <c r="C19">
        <v>0.1489</v>
      </c>
      <c r="D19">
        <v>0.64319999999999999</v>
      </c>
      <c r="E19">
        <v>308.14999999999998</v>
      </c>
      <c r="F19">
        <v>20499</v>
      </c>
      <c r="G19" t="s">
        <v>4</v>
      </c>
      <c r="H19">
        <v>0.59023250000000005</v>
      </c>
      <c r="I19">
        <f t="shared" si="3"/>
        <v>8.2349968905472561</v>
      </c>
      <c r="L19">
        <v>17821.12</v>
      </c>
      <c r="M19">
        <f t="shared" si="2"/>
        <v>13.063466510561494</v>
      </c>
    </row>
    <row r="20" spans="1:13" x14ac:dyDescent="0.4">
      <c r="A20" t="s">
        <v>6</v>
      </c>
      <c r="B20" t="s">
        <v>18</v>
      </c>
      <c r="C20">
        <v>0.21240000000000001</v>
      </c>
      <c r="D20">
        <v>0.69</v>
      </c>
      <c r="E20">
        <v>308.14999999999998</v>
      </c>
      <c r="F20">
        <v>22629</v>
      </c>
      <c r="G20" t="s">
        <v>4</v>
      </c>
      <c r="H20">
        <v>0.65190269999999995</v>
      </c>
      <c r="I20">
        <f t="shared" si="3"/>
        <v>5.5213478260869575</v>
      </c>
      <c r="L20">
        <v>20037.66</v>
      </c>
      <c r="M20">
        <f t="shared" si="2"/>
        <v>11.451411905077556</v>
      </c>
    </row>
    <row r="21" spans="1:13" x14ac:dyDescent="0.4">
      <c r="A21" t="s">
        <v>6</v>
      </c>
      <c r="B21" t="s">
        <v>18</v>
      </c>
      <c r="C21">
        <v>0.2412</v>
      </c>
      <c r="D21">
        <v>0.70809999999999995</v>
      </c>
      <c r="E21">
        <v>308.14999999999998</v>
      </c>
      <c r="F21">
        <v>23487</v>
      </c>
      <c r="G21" t="s">
        <v>4</v>
      </c>
      <c r="H21">
        <v>0.67198659999999999</v>
      </c>
      <c r="I21">
        <f t="shared" si="3"/>
        <v>5.100042366897326</v>
      </c>
      <c r="L21">
        <v>20843.900000000001</v>
      </c>
      <c r="M21">
        <f t="shared" si="2"/>
        <v>11.25345936049729</v>
      </c>
    </row>
    <row r="22" spans="1:13" x14ac:dyDescent="0.4">
      <c r="A22" t="s">
        <v>6</v>
      </c>
      <c r="B22" t="s">
        <v>18</v>
      </c>
      <c r="C22">
        <v>0.2802</v>
      </c>
      <c r="D22">
        <v>0.72270000000000001</v>
      </c>
      <c r="E22">
        <v>308.14999999999998</v>
      </c>
      <c r="F22">
        <v>24361</v>
      </c>
      <c r="G22" t="s">
        <v>4</v>
      </c>
      <c r="H22">
        <v>0.69447639999999999</v>
      </c>
      <c r="I22">
        <f t="shared" si="3"/>
        <v>3.9052995710529976</v>
      </c>
      <c r="L22">
        <v>21790.12</v>
      </c>
      <c r="M22">
        <f t="shared" si="2"/>
        <v>10.55326136037109</v>
      </c>
    </row>
    <row r="23" spans="1:13" x14ac:dyDescent="0.4">
      <c r="A23" t="s">
        <v>6</v>
      </c>
      <c r="B23" t="s">
        <v>18</v>
      </c>
      <c r="C23">
        <v>0.32369999999999999</v>
      </c>
      <c r="D23">
        <v>0.73899999999999999</v>
      </c>
      <c r="E23">
        <v>308.14999999999998</v>
      </c>
      <c r="F23">
        <v>25122</v>
      </c>
      <c r="G23" t="s">
        <v>4</v>
      </c>
      <c r="H23">
        <v>0.71518950000000003</v>
      </c>
      <c r="I23">
        <f t="shared" si="3"/>
        <v>3.2219891745602109</v>
      </c>
      <c r="L23">
        <v>22692.49</v>
      </c>
      <c r="M23">
        <f t="shared" si="2"/>
        <v>9.6708462702014106</v>
      </c>
    </row>
    <row r="24" spans="1:13" x14ac:dyDescent="0.4">
      <c r="A24" t="s">
        <v>6</v>
      </c>
      <c r="B24" t="s">
        <v>18</v>
      </c>
      <c r="C24">
        <v>0.35620000000000002</v>
      </c>
      <c r="D24">
        <v>0.74909999999999999</v>
      </c>
      <c r="E24">
        <v>308.14999999999998</v>
      </c>
      <c r="F24">
        <v>25629</v>
      </c>
      <c r="G24" t="s">
        <v>4</v>
      </c>
      <c r="H24">
        <v>0.72861589999999998</v>
      </c>
      <c r="I24">
        <f t="shared" si="3"/>
        <v>2.7344947270057407</v>
      </c>
      <c r="L24">
        <v>23286.19</v>
      </c>
      <c r="M24">
        <f t="shared" si="2"/>
        <v>9.14124624448867</v>
      </c>
    </row>
    <row r="25" spans="1:13" x14ac:dyDescent="0.4">
      <c r="A25" t="s">
        <v>6</v>
      </c>
      <c r="B25" t="s">
        <v>18</v>
      </c>
      <c r="C25">
        <v>0.39050000000000001</v>
      </c>
      <c r="D25">
        <v>0.75670000000000004</v>
      </c>
      <c r="E25">
        <v>308.14999999999998</v>
      </c>
      <c r="F25">
        <v>26075</v>
      </c>
      <c r="G25" t="s">
        <v>4</v>
      </c>
      <c r="H25">
        <v>0.7414731</v>
      </c>
      <c r="I25">
        <f t="shared" si="3"/>
        <v>2.0122769922029922</v>
      </c>
      <c r="L25">
        <v>23855.35</v>
      </c>
      <c r="M25">
        <f t="shared" si="2"/>
        <v>8.5125599232981841</v>
      </c>
    </row>
    <row r="26" spans="1:13" x14ac:dyDescent="0.4">
      <c r="A26" t="s">
        <v>6</v>
      </c>
      <c r="B26" t="s">
        <v>18</v>
      </c>
      <c r="C26">
        <v>0.44019999999999998</v>
      </c>
      <c r="D26">
        <v>0.76839999999999997</v>
      </c>
      <c r="E26">
        <v>308.14999999999998</v>
      </c>
      <c r="F26">
        <v>26661</v>
      </c>
      <c r="G26" t="s">
        <v>4</v>
      </c>
      <c r="H26">
        <v>0.75851120000000005</v>
      </c>
      <c r="I26">
        <f t="shared" si="3"/>
        <v>1.2869338885996773</v>
      </c>
      <c r="L26">
        <v>24600.880000000001</v>
      </c>
      <c r="M26">
        <f t="shared" si="2"/>
        <v>7.7270920070514943</v>
      </c>
    </row>
    <row r="27" spans="1:13" x14ac:dyDescent="0.4">
      <c r="A27" t="s">
        <v>6</v>
      </c>
      <c r="B27" t="s">
        <v>18</v>
      </c>
      <c r="C27">
        <v>0.4819</v>
      </c>
      <c r="D27">
        <v>0.77729999999999999</v>
      </c>
      <c r="E27">
        <v>308.14999999999998</v>
      </c>
      <c r="F27">
        <v>27126</v>
      </c>
      <c r="G27" t="s">
        <v>4</v>
      </c>
      <c r="H27">
        <v>0.77194200000000002</v>
      </c>
      <c r="I27">
        <f t="shared" si="3"/>
        <v>0.68930914704746871</v>
      </c>
      <c r="L27">
        <v>25173.439999999999</v>
      </c>
      <c r="M27">
        <f t="shared" si="2"/>
        <v>7.1981125119811296</v>
      </c>
    </row>
    <row r="28" spans="1:13" x14ac:dyDescent="0.4">
      <c r="A28" t="s">
        <v>6</v>
      </c>
      <c r="B28" t="s">
        <v>19</v>
      </c>
      <c r="C28">
        <v>0.51539999999999997</v>
      </c>
      <c r="D28">
        <v>0.78369999999999995</v>
      </c>
      <c r="E28">
        <v>308.14999999999998</v>
      </c>
      <c r="F28">
        <v>27444</v>
      </c>
      <c r="G28" t="s">
        <v>4</v>
      </c>
      <c r="H28">
        <v>0.78246039999999994</v>
      </c>
      <c r="I28">
        <f t="shared" si="3"/>
        <v>0.15817277019267673</v>
      </c>
      <c r="L28">
        <v>25608.11</v>
      </c>
      <c r="M28">
        <f t="shared" si="2"/>
        <v>6.6895860661711106</v>
      </c>
    </row>
    <row r="29" spans="1:13" x14ac:dyDescent="0.4">
      <c r="A29" t="s">
        <v>6</v>
      </c>
      <c r="B29" t="s">
        <v>18</v>
      </c>
      <c r="C29">
        <v>0.57689999999999997</v>
      </c>
      <c r="D29">
        <v>0.79800000000000004</v>
      </c>
      <c r="E29">
        <v>308.14999999999998</v>
      </c>
      <c r="F29">
        <v>28026</v>
      </c>
      <c r="G29" t="s">
        <v>4</v>
      </c>
      <c r="H29">
        <v>0.80174540000000005</v>
      </c>
      <c r="I29">
        <f t="shared" si="3"/>
        <v>0.46934837092731951</v>
      </c>
      <c r="L29">
        <v>26365.08</v>
      </c>
      <c r="M29">
        <f t="shared" si="2"/>
        <v>5.9263540997644988</v>
      </c>
    </row>
    <row r="30" spans="1:13" x14ac:dyDescent="0.4">
      <c r="A30" t="s">
        <v>6</v>
      </c>
      <c r="B30" t="s">
        <v>18</v>
      </c>
      <c r="C30">
        <v>0.62350000000000005</v>
      </c>
      <c r="D30">
        <v>0.80879999999999996</v>
      </c>
      <c r="E30">
        <v>308.14999999999998</v>
      </c>
      <c r="F30">
        <v>28421</v>
      </c>
      <c r="G30" t="s">
        <v>4</v>
      </c>
      <c r="H30">
        <v>0.81679550000000001</v>
      </c>
      <c r="I30">
        <f t="shared" si="3"/>
        <v>0.98856330365974832</v>
      </c>
      <c r="L30">
        <v>26914.35</v>
      </c>
      <c r="M30">
        <f t="shared" si="2"/>
        <v>5.3011857429365667</v>
      </c>
    </row>
    <row r="31" spans="1:13" x14ac:dyDescent="0.4">
      <c r="A31" t="s">
        <v>6</v>
      </c>
      <c r="B31" t="s">
        <v>18</v>
      </c>
      <c r="C31">
        <v>0.67610000000000003</v>
      </c>
      <c r="D31">
        <v>0.8226</v>
      </c>
      <c r="E31">
        <v>308.14999999999998</v>
      </c>
      <c r="F31">
        <v>28884</v>
      </c>
      <c r="G31" t="s">
        <v>4</v>
      </c>
      <c r="H31">
        <v>0.83472360000000001</v>
      </c>
      <c r="I31">
        <f t="shared" si="3"/>
        <v>1.4738147337709717</v>
      </c>
      <c r="L31">
        <v>27517.38</v>
      </c>
      <c r="M31">
        <f t="shared" si="2"/>
        <v>4.7314083921894445</v>
      </c>
    </row>
    <row r="32" spans="1:13" x14ac:dyDescent="0.4">
      <c r="A32" t="s">
        <v>6</v>
      </c>
      <c r="B32" t="s">
        <v>18</v>
      </c>
      <c r="C32">
        <v>0.73880000000000001</v>
      </c>
      <c r="D32">
        <v>0.84250000000000003</v>
      </c>
      <c r="E32">
        <v>308.14999999999998</v>
      </c>
      <c r="F32">
        <v>29415</v>
      </c>
      <c r="G32" t="s">
        <v>4</v>
      </c>
      <c r="H32">
        <v>0.85805509999999996</v>
      </c>
      <c r="I32">
        <f t="shared" si="3"/>
        <v>1.8463026706231371</v>
      </c>
      <c r="L32">
        <v>28217.72</v>
      </c>
      <c r="M32">
        <f t="shared" si="2"/>
        <v>4.0703042665306777</v>
      </c>
    </row>
    <row r="33" spans="1:13" x14ac:dyDescent="0.4">
      <c r="A33" t="s">
        <v>6</v>
      </c>
      <c r="B33" t="s">
        <v>18</v>
      </c>
      <c r="C33">
        <v>0.79169999999999996</v>
      </c>
      <c r="D33">
        <v>0.86219999999999997</v>
      </c>
      <c r="E33">
        <v>308.14999999999998</v>
      </c>
      <c r="F33">
        <v>29836</v>
      </c>
      <c r="G33" t="s">
        <v>4</v>
      </c>
      <c r="H33">
        <v>0.88000480000000003</v>
      </c>
      <c r="I33">
        <f t="shared" si="3"/>
        <v>2.0650429134771593</v>
      </c>
      <c r="L33">
        <v>28792.59</v>
      </c>
      <c r="M33">
        <f t="shared" si="2"/>
        <v>3.4971510926397635</v>
      </c>
    </row>
    <row r="34" spans="1:13" x14ac:dyDescent="0.4">
      <c r="A34" t="s">
        <v>6</v>
      </c>
      <c r="B34" t="s">
        <v>18</v>
      </c>
      <c r="C34">
        <v>0.82079999999999997</v>
      </c>
      <c r="D34">
        <v>0.87280000000000002</v>
      </c>
      <c r="E34">
        <v>308.14999999999998</v>
      </c>
      <c r="F34">
        <v>30126</v>
      </c>
      <c r="G34" t="s">
        <v>4</v>
      </c>
      <c r="H34">
        <v>0.89318699999999995</v>
      </c>
      <c r="I34">
        <f t="shared" si="3"/>
        <v>2.3358157653528795</v>
      </c>
      <c r="L34">
        <v>29101.03</v>
      </c>
      <c r="M34">
        <f t="shared" si="2"/>
        <v>3.4022771028347645</v>
      </c>
    </row>
    <row r="35" spans="1:13" x14ac:dyDescent="0.4">
      <c r="A35" t="s">
        <v>6</v>
      </c>
      <c r="B35" t="s">
        <v>18</v>
      </c>
      <c r="C35">
        <v>0.85529999999999995</v>
      </c>
      <c r="D35">
        <v>0.88980000000000004</v>
      </c>
      <c r="E35">
        <v>308.14999999999998</v>
      </c>
      <c r="F35">
        <v>30342</v>
      </c>
      <c r="G35" t="s">
        <v>4</v>
      </c>
      <c r="H35">
        <v>0.910022</v>
      </c>
      <c r="I35">
        <f t="shared" si="3"/>
        <v>2.2726455383232143</v>
      </c>
      <c r="L35">
        <v>29457.43</v>
      </c>
      <c r="M35">
        <f t="shared" si="2"/>
        <v>2.9153318831982062</v>
      </c>
    </row>
    <row r="36" spans="1:13" x14ac:dyDescent="0.4">
      <c r="A36" t="s">
        <v>6</v>
      </c>
      <c r="B36" t="s">
        <v>18</v>
      </c>
      <c r="C36">
        <v>0.87980000000000003</v>
      </c>
      <c r="D36">
        <v>0.90439999999999998</v>
      </c>
      <c r="E36">
        <v>308.14999999999998</v>
      </c>
      <c r="F36">
        <v>30495</v>
      </c>
      <c r="G36" t="s">
        <v>4</v>
      </c>
      <c r="H36">
        <v>0.92287759999999996</v>
      </c>
      <c r="I36">
        <f t="shared" si="3"/>
        <v>2.0430782839451553</v>
      </c>
      <c r="L36">
        <v>29702.97</v>
      </c>
      <c r="M36">
        <f t="shared" si="2"/>
        <v>2.5972454500737787</v>
      </c>
    </row>
    <row r="37" spans="1:13" x14ac:dyDescent="0.4">
      <c r="A37" t="s">
        <v>6</v>
      </c>
      <c r="B37" t="s">
        <v>18</v>
      </c>
      <c r="C37">
        <v>0.91549999999999998</v>
      </c>
      <c r="D37">
        <v>0.92710000000000004</v>
      </c>
      <c r="E37">
        <v>308.14999999999998</v>
      </c>
      <c r="F37">
        <v>30620</v>
      </c>
      <c r="G37" t="s">
        <v>4</v>
      </c>
      <c r="H37">
        <v>0.9431389</v>
      </c>
      <c r="I37">
        <f t="shared" si="3"/>
        <v>1.7300075504260561</v>
      </c>
      <c r="L37">
        <v>30046.52</v>
      </c>
      <c r="M37">
        <f t="shared" si="2"/>
        <v>1.8728935336381436</v>
      </c>
    </row>
    <row r="38" spans="1:13" x14ac:dyDescent="0.4">
      <c r="A38" t="s">
        <v>6</v>
      </c>
      <c r="B38" t="s">
        <v>18</v>
      </c>
      <c r="C38">
        <v>0.93289999999999995</v>
      </c>
      <c r="D38">
        <v>0.93969999999999998</v>
      </c>
      <c r="E38">
        <v>308.14999999999998</v>
      </c>
      <c r="F38">
        <v>30666</v>
      </c>
      <c r="G38" t="s">
        <v>4</v>
      </c>
      <c r="H38">
        <v>0.95374680000000001</v>
      </c>
      <c r="I38">
        <f t="shared" si="3"/>
        <v>1.494817494945198</v>
      </c>
      <c r="L38">
        <v>30206.73</v>
      </c>
      <c r="M38">
        <f t="shared" si="2"/>
        <v>1.4976521228722377</v>
      </c>
    </row>
    <row r="39" spans="1:13" x14ac:dyDescent="0.4">
      <c r="A39" t="s">
        <v>6</v>
      </c>
      <c r="B39" t="s">
        <v>18</v>
      </c>
      <c r="C39">
        <v>1</v>
      </c>
      <c r="D39">
        <v>1</v>
      </c>
      <c r="E39">
        <v>308.14999999999998</v>
      </c>
      <c r="F39">
        <v>30636</v>
      </c>
      <c r="G39" t="s">
        <v>4</v>
      </c>
      <c r="H39">
        <v>1</v>
      </c>
      <c r="I39">
        <v>0</v>
      </c>
      <c r="L39">
        <v>30765.13</v>
      </c>
      <c r="M39">
        <f t="shared" si="2"/>
        <v>0.42149758454106612</v>
      </c>
    </row>
    <row r="40" spans="1:13" x14ac:dyDescent="0.4">
      <c r="A40" t="s">
        <v>23</v>
      </c>
      <c r="B40" t="s">
        <v>22</v>
      </c>
      <c r="C40">
        <v>1.6E-2</v>
      </c>
      <c r="D40">
        <v>1.2999999999999999E-2</v>
      </c>
      <c r="E40">
        <v>334.85</v>
      </c>
      <c r="F40">
        <v>101300</v>
      </c>
      <c r="G40" t="s">
        <v>20</v>
      </c>
      <c r="H40">
        <v>1.2283199999999999E-2</v>
      </c>
      <c r="I40">
        <f t="shared" ref="I40:I53" si="4">100*ABS((H40-D40)/D40)</f>
        <v>5.5138461538461545</v>
      </c>
      <c r="J40">
        <v>334.32941</v>
      </c>
      <c r="K40">
        <f t="shared" ref="K40:K71" si="5">100*ABS((J40-E40)/E40)</f>
        <v>0.15546961325967656</v>
      </c>
    </row>
    <row r="41" spans="1:13" x14ac:dyDescent="0.4">
      <c r="A41" t="s">
        <v>23</v>
      </c>
      <c r="B41" t="s">
        <v>22</v>
      </c>
      <c r="C41">
        <v>0.06</v>
      </c>
      <c r="D41">
        <v>3.1E-2</v>
      </c>
      <c r="E41">
        <v>335.25</v>
      </c>
      <c r="F41">
        <v>101300</v>
      </c>
      <c r="G41" t="s">
        <v>20</v>
      </c>
      <c r="H41">
        <v>3.5623700000000001E-2</v>
      </c>
      <c r="I41">
        <f t="shared" si="4"/>
        <v>14.915161290322585</v>
      </c>
      <c r="J41">
        <v>334.68734999999998</v>
      </c>
      <c r="K41">
        <f t="shared" si="5"/>
        <v>0.16782997762864107</v>
      </c>
    </row>
    <row r="42" spans="1:13" x14ac:dyDescent="0.4">
      <c r="A42" t="s">
        <v>23</v>
      </c>
      <c r="B42" t="s">
        <v>22</v>
      </c>
      <c r="C42">
        <v>0.14000000000000001</v>
      </c>
      <c r="D42">
        <v>6.0999999999999999E-2</v>
      </c>
      <c r="E42">
        <v>336.05</v>
      </c>
      <c r="F42">
        <v>101300</v>
      </c>
      <c r="G42" t="s">
        <v>20</v>
      </c>
      <c r="H42">
        <v>6.1772399999999998E-2</v>
      </c>
      <c r="I42">
        <f t="shared" si="4"/>
        <v>1.2662295081967205</v>
      </c>
      <c r="J42">
        <v>335.49703</v>
      </c>
      <c r="K42">
        <f t="shared" si="5"/>
        <v>0.16454991816694425</v>
      </c>
    </row>
    <row r="43" spans="1:13" x14ac:dyDescent="0.4">
      <c r="A43" t="s">
        <v>23</v>
      </c>
      <c r="B43" t="s">
        <v>22</v>
      </c>
      <c r="C43">
        <v>0.247</v>
      </c>
      <c r="D43">
        <v>8.7999999999999995E-2</v>
      </c>
      <c r="E43">
        <v>337.35</v>
      </c>
      <c r="F43">
        <v>101300</v>
      </c>
      <c r="G43" t="s">
        <v>20</v>
      </c>
      <c r="H43">
        <v>8.8927599999999996E-2</v>
      </c>
      <c r="I43">
        <f t="shared" si="4"/>
        <v>1.0540909090909099</v>
      </c>
      <c r="J43">
        <v>336.83015999999998</v>
      </c>
      <c r="K43">
        <f t="shared" si="5"/>
        <v>0.15409515340152502</v>
      </c>
    </row>
    <row r="44" spans="1:13" x14ac:dyDescent="0.4">
      <c r="A44" t="s">
        <v>23</v>
      </c>
      <c r="B44" t="s">
        <v>22</v>
      </c>
      <c r="C44">
        <v>0.33600000000000002</v>
      </c>
      <c r="D44">
        <v>0.106</v>
      </c>
      <c r="E44">
        <v>338.45</v>
      </c>
      <c r="F44">
        <v>101300</v>
      </c>
      <c r="G44" t="s">
        <v>20</v>
      </c>
      <c r="H44">
        <v>0.1130372</v>
      </c>
      <c r="I44">
        <f t="shared" si="4"/>
        <v>6.6388679245283093</v>
      </c>
      <c r="J44">
        <v>338.27014000000003</v>
      </c>
      <c r="K44">
        <f t="shared" si="5"/>
        <v>5.3142266213609804E-2</v>
      </c>
    </row>
    <row r="45" spans="1:13" x14ac:dyDescent="0.4">
      <c r="A45" t="s">
        <v>23</v>
      </c>
      <c r="B45" t="s">
        <v>22</v>
      </c>
      <c r="C45">
        <v>0.439</v>
      </c>
      <c r="D45">
        <v>0.13200000000000001</v>
      </c>
      <c r="E45">
        <v>340.35</v>
      </c>
      <c r="F45">
        <v>101300</v>
      </c>
      <c r="G45" t="s">
        <v>20</v>
      </c>
      <c r="H45">
        <v>0.147758</v>
      </c>
      <c r="I45">
        <f t="shared" si="4"/>
        <v>11.937878787878784</v>
      </c>
      <c r="J45">
        <v>340.45461</v>
      </c>
      <c r="K45">
        <f t="shared" si="5"/>
        <v>3.073600705155859E-2</v>
      </c>
    </row>
    <row r="46" spans="1:13" x14ac:dyDescent="0.4">
      <c r="A46" t="s">
        <v>23</v>
      </c>
      <c r="B46" t="s">
        <v>22</v>
      </c>
      <c r="C46">
        <v>0.504</v>
      </c>
      <c r="D46">
        <v>0.16</v>
      </c>
      <c r="E46">
        <v>342.05</v>
      </c>
      <c r="F46">
        <v>101300</v>
      </c>
      <c r="G46" t="s">
        <v>20</v>
      </c>
      <c r="H46">
        <v>0.1758035</v>
      </c>
      <c r="I46">
        <f t="shared" si="4"/>
        <v>9.877187499999998</v>
      </c>
      <c r="J46">
        <v>342.18455999999998</v>
      </c>
      <c r="K46">
        <f t="shared" si="5"/>
        <v>3.9339277883340129E-2</v>
      </c>
    </row>
    <row r="47" spans="1:13" x14ac:dyDescent="0.4">
      <c r="A47" t="s">
        <v>23</v>
      </c>
      <c r="B47" t="s">
        <v>22</v>
      </c>
      <c r="C47">
        <v>0.59699999999999998</v>
      </c>
      <c r="D47">
        <v>0.20799999999999999</v>
      </c>
      <c r="E47">
        <v>344.35</v>
      </c>
      <c r="F47">
        <v>101300</v>
      </c>
      <c r="G47" t="s">
        <v>20</v>
      </c>
      <c r="H47">
        <v>0.22861310000000001</v>
      </c>
      <c r="I47">
        <f t="shared" si="4"/>
        <v>9.9101442307692427</v>
      </c>
      <c r="J47">
        <v>345.23099000000002</v>
      </c>
      <c r="K47">
        <f t="shared" si="5"/>
        <v>0.25584144039494611</v>
      </c>
    </row>
    <row r="48" spans="1:13" x14ac:dyDescent="0.4">
      <c r="A48" t="s">
        <v>23</v>
      </c>
      <c r="B48" t="s">
        <v>22</v>
      </c>
      <c r="C48">
        <v>0.67300000000000004</v>
      </c>
      <c r="D48">
        <v>0.26400000000000001</v>
      </c>
      <c r="E48">
        <v>347.55</v>
      </c>
      <c r="F48">
        <v>101300</v>
      </c>
      <c r="G48" t="s">
        <v>20</v>
      </c>
      <c r="H48">
        <v>0.28812090000000001</v>
      </c>
      <c r="I48">
        <f t="shared" si="4"/>
        <v>9.1367045454545455</v>
      </c>
      <c r="J48">
        <v>348.31177000000002</v>
      </c>
      <c r="K48">
        <f t="shared" si="5"/>
        <v>0.21918285138829313</v>
      </c>
    </row>
    <row r="49" spans="1:11" x14ac:dyDescent="0.4">
      <c r="A49" t="s">
        <v>23</v>
      </c>
      <c r="B49" t="s">
        <v>22</v>
      </c>
      <c r="C49">
        <v>0.747</v>
      </c>
      <c r="D49">
        <v>0.34399999999999997</v>
      </c>
      <c r="E49">
        <v>351.35</v>
      </c>
      <c r="F49">
        <v>101300</v>
      </c>
      <c r="G49" t="s">
        <v>20</v>
      </c>
      <c r="H49">
        <v>0.36747400000000002</v>
      </c>
      <c r="I49">
        <f t="shared" si="4"/>
        <v>6.8238372093023418</v>
      </c>
      <c r="J49">
        <v>351.92153000000002</v>
      </c>
      <c r="K49">
        <f t="shared" si="5"/>
        <v>0.16266685641098494</v>
      </c>
    </row>
    <row r="50" spans="1:11" x14ac:dyDescent="0.4">
      <c r="A50" t="s">
        <v>23</v>
      </c>
      <c r="B50" t="s">
        <v>22</v>
      </c>
      <c r="C50">
        <v>0.80600000000000005</v>
      </c>
      <c r="D50">
        <v>0.435</v>
      </c>
      <c r="E50">
        <v>355.05</v>
      </c>
      <c r="F50">
        <v>101300</v>
      </c>
      <c r="G50" t="s">
        <v>20</v>
      </c>
      <c r="H50">
        <v>0.45276169999999999</v>
      </c>
      <c r="I50">
        <f t="shared" si="4"/>
        <v>4.0831494252873544</v>
      </c>
      <c r="J50">
        <v>355.30211000000003</v>
      </c>
      <c r="K50">
        <f t="shared" si="5"/>
        <v>7.1006900436562742E-2</v>
      </c>
    </row>
    <row r="51" spans="1:11" x14ac:dyDescent="0.4">
      <c r="A51" t="s">
        <v>23</v>
      </c>
      <c r="B51" t="s">
        <v>22</v>
      </c>
      <c r="C51">
        <v>0.84299999999999997</v>
      </c>
      <c r="D51">
        <v>0.501</v>
      </c>
      <c r="E51">
        <v>357.45</v>
      </c>
      <c r="F51">
        <v>101300</v>
      </c>
      <c r="G51" t="s">
        <v>20</v>
      </c>
      <c r="H51">
        <v>0.51987779999999995</v>
      </c>
      <c r="I51">
        <f t="shared" si="4"/>
        <v>3.7680239520957977</v>
      </c>
      <c r="J51">
        <v>357.67869999999999</v>
      </c>
      <c r="K51">
        <f t="shared" si="5"/>
        <v>6.3980976360331093E-2</v>
      </c>
    </row>
    <row r="52" spans="1:11" x14ac:dyDescent="0.4">
      <c r="A52" t="s">
        <v>23</v>
      </c>
      <c r="B52" t="s">
        <v>22</v>
      </c>
      <c r="C52">
        <v>0.90700000000000003</v>
      </c>
      <c r="D52">
        <v>0.65400000000000003</v>
      </c>
      <c r="E52">
        <v>362.25</v>
      </c>
      <c r="F52">
        <v>101300</v>
      </c>
      <c r="G52" t="s">
        <v>20</v>
      </c>
      <c r="H52">
        <v>0.66974310000000004</v>
      </c>
      <c r="I52">
        <f t="shared" si="4"/>
        <v>2.4072018348623865</v>
      </c>
      <c r="J52">
        <v>362.30844999999999</v>
      </c>
      <c r="K52">
        <f t="shared" si="5"/>
        <v>1.6135265700481283E-2</v>
      </c>
    </row>
    <row r="53" spans="1:11" x14ac:dyDescent="0.4">
      <c r="A53" t="s">
        <v>23</v>
      </c>
      <c r="B53" t="s">
        <v>22</v>
      </c>
      <c r="C53">
        <v>0.95199999999999996</v>
      </c>
      <c r="D53">
        <v>0.79600000000000004</v>
      </c>
      <c r="E53">
        <v>365.65</v>
      </c>
      <c r="F53">
        <v>101300</v>
      </c>
      <c r="G53" t="s">
        <v>20</v>
      </c>
      <c r="H53">
        <v>0.80921010000000004</v>
      </c>
      <c r="I53">
        <f t="shared" si="4"/>
        <v>1.659560301507538</v>
      </c>
      <c r="J53">
        <v>365.99191000000002</v>
      </c>
      <c r="K53">
        <f t="shared" si="5"/>
        <v>9.3507452481892864E-2</v>
      </c>
    </row>
    <row r="54" spans="1:11" x14ac:dyDescent="0.4">
      <c r="A54" t="s">
        <v>7</v>
      </c>
      <c r="B54" t="s">
        <v>21</v>
      </c>
      <c r="C54">
        <v>0</v>
      </c>
      <c r="D54">
        <v>0</v>
      </c>
      <c r="E54">
        <v>372.35</v>
      </c>
      <c r="F54">
        <v>101330</v>
      </c>
      <c r="G54" t="s">
        <v>20</v>
      </c>
      <c r="H54">
        <v>0</v>
      </c>
      <c r="I54">
        <v>0</v>
      </c>
      <c r="J54">
        <v>372.92773</v>
      </c>
      <c r="K54">
        <f t="shared" si="5"/>
        <v>0.15515778165703614</v>
      </c>
    </row>
    <row r="55" spans="1:11" x14ac:dyDescent="0.4">
      <c r="A55" t="s">
        <v>7</v>
      </c>
      <c r="B55" t="s">
        <v>21</v>
      </c>
      <c r="C55">
        <v>7.2599999999999998E-2</v>
      </c>
      <c r="D55">
        <v>0.215</v>
      </c>
      <c r="E55">
        <v>368.15</v>
      </c>
      <c r="F55">
        <v>101330</v>
      </c>
      <c r="G55" t="s">
        <v>20</v>
      </c>
      <c r="H55">
        <v>0.24311179999999999</v>
      </c>
      <c r="I55">
        <f t="shared" ref="I55:I75" si="6">100*ABS((H55-D55)/D55)</f>
        <v>13.075255813953484</v>
      </c>
      <c r="J55">
        <v>367.36628000000002</v>
      </c>
      <c r="K55">
        <f t="shared" si="5"/>
        <v>0.21288061931276922</v>
      </c>
    </row>
    <row r="56" spans="1:11" x14ac:dyDescent="0.4">
      <c r="A56" t="s">
        <v>7</v>
      </c>
      <c r="B56" t="s">
        <v>21</v>
      </c>
      <c r="C56">
        <v>0.1047</v>
      </c>
      <c r="D56">
        <v>0.29170000000000001</v>
      </c>
      <c r="E56">
        <v>366.35</v>
      </c>
      <c r="F56">
        <v>101330</v>
      </c>
      <c r="G56" t="s">
        <v>20</v>
      </c>
      <c r="H56">
        <v>0.3256947</v>
      </c>
      <c r="I56">
        <f t="shared" si="6"/>
        <v>11.653993829276651</v>
      </c>
      <c r="J56">
        <v>365.22649000000001</v>
      </c>
      <c r="K56">
        <f t="shared" si="5"/>
        <v>0.30667667531049819</v>
      </c>
    </row>
    <row r="57" spans="1:11" x14ac:dyDescent="0.4">
      <c r="A57" t="s">
        <v>7</v>
      </c>
      <c r="B57" t="s">
        <v>21</v>
      </c>
      <c r="C57">
        <v>0.13930000000000001</v>
      </c>
      <c r="D57">
        <v>0.36409999999999998</v>
      </c>
      <c r="E57">
        <v>364.55</v>
      </c>
      <c r="F57">
        <v>101330</v>
      </c>
      <c r="G57" t="s">
        <v>20</v>
      </c>
      <c r="H57">
        <v>0.40203420000000001</v>
      </c>
      <c r="I57">
        <f t="shared" si="6"/>
        <v>10.418621257896191</v>
      </c>
      <c r="J57">
        <v>363.10338000000002</v>
      </c>
      <c r="K57">
        <f t="shared" si="5"/>
        <v>0.39682348100397635</v>
      </c>
    </row>
    <row r="58" spans="1:11" x14ac:dyDescent="0.4">
      <c r="A58" t="s">
        <v>7</v>
      </c>
      <c r="B58" t="s">
        <v>21</v>
      </c>
      <c r="C58">
        <v>0.1671</v>
      </c>
      <c r="D58">
        <v>0.4153</v>
      </c>
      <c r="E58">
        <v>363.25</v>
      </c>
      <c r="F58">
        <v>101330</v>
      </c>
      <c r="G58" t="s">
        <v>20</v>
      </c>
      <c r="H58">
        <v>0.455484</v>
      </c>
      <c r="I58">
        <f t="shared" si="6"/>
        <v>9.6758969419696594</v>
      </c>
      <c r="J58">
        <v>361.52053000000001</v>
      </c>
      <c r="K58">
        <f t="shared" si="5"/>
        <v>0.47611011699930961</v>
      </c>
    </row>
    <row r="59" spans="1:11" x14ac:dyDescent="0.4">
      <c r="A59" t="s">
        <v>7</v>
      </c>
      <c r="B59" t="s">
        <v>21</v>
      </c>
      <c r="C59">
        <v>0.2092</v>
      </c>
      <c r="D59">
        <v>0.48649999999999999</v>
      </c>
      <c r="E59">
        <v>361.3</v>
      </c>
      <c r="F59">
        <v>101330</v>
      </c>
      <c r="G59" t="s">
        <v>20</v>
      </c>
      <c r="H59">
        <v>0.52546700000000002</v>
      </c>
      <c r="I59">
        <f t="shared" si="6"/>
        <v>8.0096608427543732</v>
      </c>
      <c r="J59">
        <v>359.30847</v>
      </c>
      <c r="K59">
        <f t="shared" si="5"/>
        <v>0.55121228895654906</v>
      </c>
    </row>
    <row r="60" spans="1:11" x14ac:dyDescent="0.4">
      <c r="A60" t="s">
        <v>7</v>
      </c>
      <c r="B60" t="s">
        <v>21</v>
      </c>
      <c r="C60">
        <v>0.25879999999999997</v>
      </c>
      <c r="D60">
        <v>0.55779999999999996</v>
      </c>
      <c r="E60">
        <v>359.3</v>
      </c>
      <c r="F60">
        <v>101330</v>
      </c>
      <c r="G60" t="s">
        <v>20</v>
      </c>
      <c r="H60">
        <v>0.59427549999999996</v>
      </c>
      <c r="I60">
        <f t="shared" si="6"/>
        <v>6.5391717461455707</v>
      </c>
      <c r="J60">
        <v>356.95303000000001</v>
      </c>
      <c r="K60">
        <f t="shared" si="5"/>
        <v>0.65320623434455849</v>
      </c>
    </row>
    <row r="61" spans="1:11" x14ac:dyDescent="0.4">
      <c r="A61" t="s">
        <v>7</v>
      </c>
      <c r="B61" t="s">
        <v>21</v>
      </c>
      <c r="C61">
        <v>0.29189999999999999</v>
      </c>
      <c r="D61">
        <v>0.60050000000000003</v>
      </c>
      <c r="E61">
        <v>357.8</v>
      </c>
      <c r="F61">
        <v>101330</v>
      </c>
      <c r="G61" t="s">
        <v>20</v>
      </c>
      <c r="H61">
        <v>0.63360369999999999</v>
      </c>
      <c r="I61">
        <f t="shared" si="6"/>
        <v>5.5126894254787606</v>
      </c>
      <c r="J61">
        <v>355.51321000000002</v>
      </c>
      <c r="K61">
        <f t="shared" si="5"/>
        <v>0.63912520961430863</v>
      </c>
    </row>
    <row r="62" spans="1:11" x14ac:dyDescent="0.4">
      <c r="A62" t="s">
        <v>7</v>
      </c>
      <c r="B62" t="s">
        <v>21</v>
      </c>
      <c r="C62">
        <v>0.36630000000000001</v>
      </c>
      <c r="D62">
        <v>0.68230000000000002</v>
      </c>
      <c r="E62">
        <v>354.95</v>
      </c>
      <c r="F62">
        <v>101330</v>
      </c>
      <c r="G62" t="s">
        <v>20</v>
      </c>
      <c r="H62">
        <v>0.7071442</v>
      </c>
      <c r="I62">
        <f t="shared" si="6"/>
        <v>3.6412428550490961</v>
      </c>
      <c r="J62">
        <v>352.60613999999998</v>
      </c>
      <c r="K62">
        <f t="shared" si="5"/>
        <v>0.66033525848711272</v>
      </c>
    </row>
    <row r="63" spans="1:11" x14ac:dyDescent="0.4">
      <c r="A63" t="s">
        <v>7</v>
      </c>
      <c r="B63" t="s">
        <v>21</v>
      </c>
      <c r="C63">
        <v>0.40920000000000001</v>
      </c>
      <c r="D63">
        <v>0.72189999999999999</v>
      </c>
      <c r="E63">
        <v>353.6</v>
      </c>
      <c r="F63">
        <v>101330</v>
      </c>
      <c r="G63" t="s">
        <v>20</v>
      </c>
      <c r="H63">
        <v>0.74218070000000003</v>
      </c>
      <c r="I63">
        <f t="shared" si="6"/>
        <v>2.8093503255298571</v>
      </c>
      <c r="J63">
        <v>351.10876999999999</v>
      </c>
      <c r="K63">
        <f t="shared" si="5"/>
        <v>0.70453337104073244</v>
      </c>
    </row>
    <row r="64" spans="1:11" x14ac:dyDescent="0.4">
      <c r="A64" t="s">
        <v>7</v>
      </c>
      <c r="B64" t="s">
        <v>21</v>
      </c>
      <c r="C64">
        <v>0.46629999999999999</v>
      </c>
      <c r="D64">
        <v>0.76870000000000005</v>
      </c>
      <c r="E64">
        <v>351.7</v>
      </c>
      <c r="F64">
        <v>101330</v>
      </c>
      <c r="G64" t="s">
        <v>20</v>
      </c>
      <c r="H64">
        <v>0.78241799999999995</v>
      </c>
      <c r="I64">
        <f t="shared" si="6"/>
        <v>1.7845713542344082</v>
      </c>
      <c r="J64">
        <v>349.28771999999998</v>
      </c>
      <c r="K64">
        <f t="shared" si="5"/>
        <v>0.68589138470287447</v>
      </c>
    </row>
    <row r="65" spans="1:11" x14ac:dyDescent="0.4">
      <c r="A65" t="s">
        <v>7</v>
      </c>
      <c r="B65" t="s">
        <v>21</v>
      </c>
      <c r="C65">
        <v>0.48670000000000002</v>
      </c>
      <c r="D65">
        <v>0.78449999999999998</v>
      </c>
      <c r="E65">
        <v>350.9</v>
      </c>
      <c r="F65">
        <v>101330</v>
      </c>
      <c r="G65" t="s">
        <v>20</v>
      </c>
      <c r="H65">
        <v>0.79531300000000005</v>
      </c>
      <c r="I65">
        <f t="shared" si="6"/>
        <v>1.3783301465901943</v>
      </c>
      <c r="J65">
        <v>348.67964999999998</v>
      </c>
      <c r="K65">
        <f t="shared" si="5"/>
        <v>0.63275862068965416</v>
      </c>
    </row>
    <row r="66" spans="1:11" x14ac:dyDescent="0.4">
      <c r="A66" t="s">
        <v>7</v>
      </c>
      <c r="B66" t="s">
        <v>21</v>
      </c>
      <c r="C66">
        <v>0.53520000000000001</v>
      </c>
      <c r="D66">
        <v>0.81740000000000002</v>
      </c>
      <c r="E66">
        <v>349.25</v>
      </c>
      <c r="F66">
        <v>101330</v>
      </c>
      <c r="G66" t="s">
        <v>20</v>
      </c>
      <c r="H66">
        <v>0.82336370000000003</v>
      </c>
      <c r="I66">
        <f t="shared" si="6"/>
        <v>0.72959383410814971</v>
      </c>
      <c r="J66">
        <v>347.31400000000002</v>
      </c>
      <c r="K66">
        <f t="shared" si="5"/>
        <v>0.55433070866141121</v>
      </c>
    </row>
    <row r="67" spans="1:11" x14ac:dyDescent="0.4">
      <c r="A67" t="s">
        <v>7</v>
      </c>
      <c r="B67" t="s">
        <v>21</v>
      </c>
      <c r="C67">
        <v>0.59840000000000004</v>
      </c>
      <c r="D67">
        <v>0.8538</v>
      </c>
      <c r="E67">
        <v>347.45</v>
      </c>
      <c r="F67">
        <v>101330</v>
      </c>
      <c r="G67" t="s">
        <v>20</v>
      </c>
      <c r="H67">
        <v>0.85534750000000004</v>
      </c>
      <c r="I67">
        <f t="shared" si="6"/>
        <v>0.18124853595690266</v>
      </c>
      <c r="J67">
        <v>345.68398000000002</v>
      </c>
      <c r="K67">
        <f t="shared" si="5"/>
        <v>0.50828032810475443</v>
      </c>
    </row>
    <row r="68" spans="1:11" x14ac:dyDescent="0.4">
      <c r="A68" t="s">
        <v>7</v>
      </c>
      <c r="B68" t="s">
        <v>21</v>
      </c>
      <c r="C68">
        <v>0.64910000000000001</v>
      </c>
      <c r="D68">
        <v>0.88060000000000005</v>
      </c>
      <c r="E68">
        <v>346.05</v>
      </c>
      <c r="F68">
        <v>101330</v>
      </c>
      <c r="G68" t="s">
        <v>20</v>
      </c>
      <c r="H68">
        <v>0.87804850000000001</v>
      </c>
      <c r="I68">
        <f t="shared" si="6"/>
        <v>0.28974562798092662</v>
      </c>
      <c r="J68">
        <v>344.48102</v>
      </c>
      <c r="K68">
        <f t="shared" si="5"/>
        <v>0.45339690796128029</v>
      </c>
    </row>
    <row r="69" spans="1:11" x14ac:dyDescent="0.4">
      <c r="A69" t="s">
        <v>7</v>
      </c>
      <c r="B69" t="s">
        <v>21</v>
      </c>
      <c r="C69">
        <v>0.70760000000000001</v>
      </c>
      <c r="D69">
        <v>0.90690000000000004</v>
      </c>
      <c r="E69">
        <v>344.55</v>
      </c>
      <c r="F69">
        <v>101330</v>
      </c>
      <c r="G69" t="s">
        <v>20</v>
      </c>
      <c r="H69">
        <v>0.90171630000000003</v>
      </c>
      <c r="I69">
        <f t="shared" si="6"/>
        <v>0.57158451869004445</v>
      </c>
      <c r="J69">
        <v>343.19004000000001</v>
      </c>
      <c r="K69">
        <f t="shared" si="5"/>
        <v>0.39470613844144559</v>
      </c>
    </row>
    <row r="70" spans="1:11" x14ac:dyDescent="0.4">
      <c r="A70" t="s">
        <v>7</v>
      </c>
      <c r="B70" t="s">
        <v>21</v>
      </c>
      <c r="C70">
        <v>0.75880000000000003</v>
      </c>
      <c r="D70">
        <v>0.92730000000000001</v>
      </c>
      <c r="E70">
        <v>343</v>
      </c>
      <c r="F70">
        <v>101330</v>
      </c>
      <c r="G70" t="s">
        <v>20</v>
      </c>
      <c r="H70">
        <v>0.9207187</v>
      </c>
      <c r="I70">
        <f t="shared" si="6"/>
        <v>0.70972716488730847</v>
      </c>
      <c r="J70">
        <v>342.13137999999998</v>
      </c>
      <c r="K70">
        <f t="shared" si="5"/>
        <v>0.25324198250729485</v>
      </c>
    </row>
    <row r="71" spans="1:11" x14ac:dyDescent="0.4">
      <c r="A71" t="s">
        <v>7</v>
      </c>
      <c r="B71" t="s">
        <v>21</v>
      </c>
      <c r="C71">
        <v>0.83589999999999998</v>
      </c>
      <c r="D71">
        <v>0.95479999999999998</v>
      </c>
      <c r="E71">
        <v>341.1</v>
      </c>
      <c r="F71">
        <v>101330</v>
      </c>
      <c r="G71" t="s">
        <v>20</v>
      </c>
      <c r="H71">
        <v>0.94721509999999998</v>
      </c>
      <c r="I71">
        <f t="shared" si="6"/>
        <v>0.79439673229995866</v>
      </c>
      <c r="J71">
        <v>340.63544000000002</v>
      </c>
      <c r="K71">
        <f t="shared" si="5"/>
        <v>0.13619466432131511</v>
      </c>
    </row>
    <row r="72" spans="1:11" x14ac:dyDescent="0.4">
      <c r="A72" t="s">
        <v>7</v>
      </c>
      <c r="B72" t="s">
        <v>21</v>
      </c>
      <c r="C72">
        <v>0.87649999999999995</v>
      </c>
      <c r="D72">
        <v>0.96689999999999998</v>
      </c>
      <c r="E72">
        <v>340.35</v>
      </c>
      <c r="F72">
        <v>101330</v>
      </c>
      <c r="G72" t="s">
        <v>20</v>
      </c>
      <c r="H72">
        <v>0.96049620000000002</v>
      </c>
      <c r="I72">
        <f t="shared" si="6"/>
        <v>0.66230220291653319</v>
      </c>
      <c r="J72">
        <v>339.88378999999998</v>
      </c>
      <c r="K72">
        <f t="shared" ref="K72:K130" si="7">100*ABS((J72-E72)/E72)</f>
        <v>0.13697957984429157</v>
      </c>
    </row>
    <row r="73" spans="1:11" x14ac:dyDescent="0.4">
      <c r="A73" t="s">
        <v>7</v>
      </c>
      <c r="B73" t="s">
        <v>21</v>
      </c>
      <c r="C73">
        <v>0.9667</v>
      </c>
      <c r="D73">
        <v>0.9919</v>
      </c>
      <c r="E73">
        <v>338.5</v>
      </c>
      <c r="F73">
        <v>101330</v>
      </c>
      <c r="G73" t="s">
        <v>20</v>
      </c>
      <c r="H73">
        <v>0.98933179999999998</v>
      </c>
      <c r="I73">
        <f t="shared" si="6"/>
        <v>0.25891722955943341</v>
      </c>
      <c r="J73">
        <v>338.27026999999998</v>
      </c>
      <c r="K73">
        <f t="shared" si="7"/>
        <v>6.7867060561305093E-2</v>
      </c>
    </row>
    <row r="74" spans="1:11" x14ac:dyDescent="0.4">
      <c r="A74" t="s">
        <v>7</v>
      </c>
      <c r="B74" t="s">
        <v>21</v>
      </c>
      <c r="C74">
        <v>0.98740000000000006</v>
      </c>
      <c r="D74">
        <v>0.997</v>
      </c>
      <c r="E74">
        <v>337.95</v>
      </c>
      <c r="F74">
        <v>101330</v>
      </c>
      <c r="G74" t="s">
        <v>20</v>
      </c>
      <c r="H74">
        <v>0.99595149999999999</v>
      </c>
      <c r="I74">
        <f t="shared" si="6"/>
        <v>0.10516549648946918</v>
      </c>
      <c r="J74">
        <v>337.90667999999999</v>
      </c>
      <c r="K74">
        <f t="shared" si="7"/>
        <v>1.2818464269860705E-2</v>
      </c>
    </row>
    <row r="75" spans="1:11" x14ac:dyDescent="0.4">
      <c r="A75" t="s">
        <v>7</v>
      </c>
      <c r="B75" t="s">
        <v>21</v>
      </c>
      <c r="C75">
        <v>1</v>
      </c>
      <c r="D75">
        <v>1</v>
      </c>
      <c r="E75">
        <v>337.65</v>
      </c>
      <c r="F75">
        <v>101330</v>
      </c>
      <c r="G75" t="s">
        <v>20</v>
      </c>
      <c r="H75">
        <v>1</v>
      </c>
      <c r="I75">
        <f t="shared" si="6"/>
        <v>0</v>
      </c>
      <c r="J75">
        <v>337.68601000000001</v>
      </c>
      <c r="K75">
        <f t="shared" si="7"/>
        <v>1.0664889678671099E-2</v>
      </c>
    </row>
    <row r="76" spans="1:11" x14ac:dyDescent="0.4">
      <c r="A76" t="s">
        <v>7</v>
      </c>
      <c r="B76" t="s">
        <v>21</v>
      </c>
      <c r="C76">
        <v>0</v>
      </c>
      <c r="D76">
        <v>0</v>
      </c>
      <c r="E76">
        <v>372.7</v>
      </c>
      <c r="F76">
        <v>101300</v>
      </c>
      <c r="G76" t="s">
        <v>20</v>
      </c>
      <c r="H76">
        <v>0</v>
      </c>
      <c r="I76">
        <v>0</v>
      </c>
      <c r="J76">
        <v>372.91968000000003</v>
      </c>
      <c r="K76">
        <f t="shared" si="7"/>
        <v>5.8942849476801555E-2</v>
      </c>
    </row>
    <row r="77" spans="1:11" x14ac:dyDescent="0.4">
      <c r="A77" t="s">
        <v>7</v>
      </c>
      <c r="B77" t="s">
        <v>21</v>
      </c>
      <c r="C77">
        <v>8.1600000000000006E-2</v>
      </c>
      <c r="D77">
        <v>0.25990000000000002</v>
      </c>
      <c r="E77">
        <v>367.83</v>
      </c>
      <c r="F77">
        <v>101300</v>
      </c>
      <c r="G77" t="s">
        <v>20</v>
      </c>
      <c r="H77">
        <v>0.26755879999999999</v>
      </c>
      <c r="I77">
        <f t="shared" ref="I77:I130" si="8">100*ABS((H77-D77)/D77)</f>
        <v>2.9468257021931379</v>
      </c>
      <c r="J77">
        <v>366.74056000000002</v>
      </c>
      <c r="K77">
        <f t="shared" si="7"/>
        <v>0.29618030068237167</v>
      </c>
    </row>
    <row r="78" spans="1:11" x14ac:dyDescent="0.4">
      <c r="A78" t="s">
        <v>7</v>
      </c>
      <c r="B78" t="s">
        <v>21</v>
      </c>
      <c r="C78">
        <v>0.104</v>
      </c>
      <c r="D78">
        <v>0.31130000000000002</v>
      </c>
      <c r="E78">
        <v>367</v>
      </c>
      <c r="F78">
        <v>101300</v>
      </c>
      <c r="G78" t="s">
        <v>20</v>
      </c>
      <c r="H78">
        <v>0.32403589999999999</v>
      </c>
      <c r="I78">
        <f t="shared" si="8"/>
        <v>4.0911982010921832</v>
      </c>
      <c r="J78">
        <v>365.26328000000001</v>
      </c>
      <c r="K78">
        <f t="shared" si="7"/>
        <v>0.47322070844686409</v>
      </c>
    </row>
    <row r="79" spans="1:11" x14ac:dyDescent="0.4">
      <c r="A79" t="s">
        <v>7</v>
      </c>
      <c r="B79" t="s">
        <v>21</v>
      </c>
      <c r="C79">
        <v>0.1366</v>
      </c>
      <c r="D79">
        <v>0.40050000000000002</v>
      </c>
      <c r="E79">
        <v>364.55</v>
      </c>
      <c r="F79">
        <v>101300</v>
      </c>
      <c r="G79" t="s">
        <v>20</v>
      </c>
      <c r="H79">
        <v>0.39650619999999998</v>
      </c>
      <c r="I79">
        <f t="shared" si="8"/>
        <v>0.99720349563047361</v>
      </c>
      <c r="J79">
        <v>363.25468999999998</v>
      </c>
      <c r="K79">
        <f t="shared" si="7"/>
        <v>0.35531751474421314</v>
      </c>
    </row>
    <row r="80" spans="1:11" x14ac:dyDescent="0.4">
      <c r="A80" t="s">
        <v>7</v>
      </c>
      <c r="B80" t="s">
        <v>21</v>
      </c>
      <c r="C80">
        <v>0.18990000000000001</v>
      </c>
      <c r="D80">
        <v>0.47739999999999999</v>
      </c>
      <c r="E80">
        <v>362.3</v>
      </c>
      <c r="F80">
        <v>101300</v>
      </c>
      <c r="G80" t="s">
        <v>20</v>
      </c>
      <c r="H80">
        <v>0.4948882</v>
      </c>
      <c r="I80">
        <f t="shared" si="8"/>
        <v>3.6632174277335587</v>
      </c>
      <c r="J80">
        <v>360.28843000000001</v>
      </c>
      <c r="K80">
        <f t="shared" si="7"/>
        <v>0.55522219155396246</v>
      </c>
    </row>
    <row r="81" spans="1:11" x14ac:dyDescent="0.4">
      <c r="A81" t="s">
        <v>7</v>
      </c>
      <c r="B81" t="s">
        <v>21</v>
      </c>
      <c r="C81">
        <v>0.24840000000000001</v>
      </c>
      <c r="D81">
        <v>0.56599999999999995</v>
      </c>
      <c r="E81">
        <v>360.17</v>
      </c>
      <c r="F81">
        <v>101300</v>
      </c>
      <c r="G81" t="s">
        <v>20</v>
      </c>
      <c r="H81">
        <v>0.5809183</v>
      </c>
      <c r="I81">
        <f t="shared" si="8"/>
        <v>2.6357420494699739</v>
      </c>
      <c r="J81">
        <v>357.41836999999998</v>
      </c>
      <c r="K81">
        <f t="shared" si="7"/>
        <v>0.7639808979093301</v>
      </c>
    </row>
    <row r="82" spans="1:11" x14ac:dyDescent="0.4">
      <c r="A82" t="s">
        <v>7</v>
      </c>
      <c r="B82" t="s">
        <v>21</v>
      </c>
      <c r="C82">
        <v>0.28670000000000001</v>
      </c>
      <c r="D82">
        <v>0.63280000000000003</v>
      </c>
      <c r="E82">
        <v>357.28</v>
      </c>
      <c r="F82">
        <v>101300</v>
      </c>
      <c r="G82" t="s">
        <v>20</v>
      </c>
      <c r="H82">
        <v>0.62774540000000001</v>
      </c>
      <c r="I82">
        <f t="shared" si="8"/>
        <v>0.79876738305942152</v>
      </c>
      <c r="J82">
        <v>355.72501</v>
      </c>
      <c r="K82">
        <f t="shared" si="7"/>
        <v>0.43523007165247857</v>
      </c>
    </row>
    <row r="83" spans="1:11" x14ac:dyDescent="0.4">
      <c r="A83" t="s">
        <v>7</v>
      </c>
      <c r="B83" t="s">
        <v>21</v>
      </c>
      <c r="C83">
        <v>0.3306</v>
      </c>
      <c r="D83">
        <v>0.6744</v>
      </c>
      <c r="E83">
        <v>356.19</v>
      </c>
      <c r="F83">
        <v>101300</v>
      </c>
      <c r="G83" t="s">
        <v>20</v>
      </c>
      <c r="H83">
        <v>0.6741492</v>
      </c>
      <c r="I83">
        <f t="shared" si="8"/>
        <v>3.7188612099643456E-2</v>
      </c>
      <c r="J83">
        <v>353.94024000000002</v>
      </c>
      <c r="K83">
        <f t="shared" si="7"/>
        <v>0.63161795670849286</v>
      </c>
    </row>
    <row r="84" spans="1:11" x14ac:dyDescent="0.4">
      <c r="A84" t="s">
        <v>7</v>
      </c>
      <c r="B84" t="s">
        <v>21</v>
      </c>
      <c r="C84">
        <v>0.37659999999999999</v>
      </c>
      <c r="D84">
        <v>0.72340000000000004</v>
      </c>
      <c r="E84">
        <v>353.53</v>
      </c>
      <c r="F84">
        <v>101300</v>
      </c>
      <c r="G84" t="s">
        <v>20</v>
      </c>
      <c r="H84">
        <v>0.71599840000000003</v>
      </c>
      <c r="I84">
        <f t="shared" si="8"/>
        <v>1.0231683715786575</v>
      </c>
      <c r="J84">
        <v>352.22775999999999</v>
      </c>
      <c r="K84">
        <f t="shared" si="7"/>
        <v>0.36835346363815896</v>
      </c>
    </row>
    <row r="85" spans="1:11" x14ac:dyDescent="0.4">
      <c r="A85" t="s">
        <v>7</v>
      </c>
      <c r="B85" t="s">
        <v>21</v>
      </c>
      <c r="C85">
        <v>0.42759999999999998</v>
      </c>
      <c r="D85">
        <v>0.76349999999999996</v>
      </c>
      <c r="E85">
        <v>352.18</v>
      </c>
      <c r="F85">
        <v>101300</v>
      </c>
      <c r="G85" t="s">
        <v>20</v>
      </c>
      <c r="H85">
        <v>0.75588529999999998</v>
      </c>
      <c r="I85">
        <f t="shared" si="8"/>
        <v>0.99734119187949899</v>
      </c>
      <c r="J85">
        <v>350.49387999999999</v>
      </c>
      <c r="K85">
        <f t="shared" si="7"/>
        <v>0.47876653983758782</v>
      </c>
    </row>
    <row r="86" spans="1:11" x14ac:dyDescent="0.4">
      <c r="A86" t="s">
        <v>7</v>
      </c>
      <c r="B86" t="s">
        <v>21</v>
      </c>
      <c r="C86">
        <v>0.49299999999999999</v>
      </c>
      <c r="D86">
        <v>0.80559999999999998</v>
      </c>
      <c r="E86">
        <v>350.63</v>
      </c>
      <c r="F86">
        <v>101300</v>
      </c>
      <c r="G86" t="s">
        <v>20</v>
      </c>
      <c r="H86">
        <v>0.79916690000000001</v>
      </c>
      <c r="I86">
        <f t="shared" si="8"/>
        <v>0.79854766633564667</v>
      </c>
      <c r="J86">
        <v>348.48824999999999</v>
      </c>
      <c r="K86">
        <f t="shared" si="7"/>
        <v>0.61082907908621675</v>
      </c>
    </row>
    <row r="87" spans="1:11" x14ac:dyDescent="0.4">
      <c r="A87" t="s">
        <v>7</v>
      </c>
      <c r="B87" t="s">
        <v>21</v>
      </c>
      <c r="C87">
        <v>0.54300000000000004</v>
      </c>
      <c r="D87">
        <v>0.83179999999999998</v>
      </c>
      <c r="E87">
        <v>349.43</v>
      </c>
      <c r="F87">
        <v>101300</v>
      </c>
      <c r="G87" t="s">
        <v>20</v>
      </c>
      <c r="H87">
        <v>0.82757800000000004</v>
      </c>
      <c r="I87">
        <f t="shared" si="8"/>
        <v>0.5075739360423116</v>
      </c>
      <c r="J87">
        <v>347.09638999999999</v>
      </c>
      <c r="K87">
        <f t="shared" si="7"/>
        <v>0.66783332856366695</v>
      </c>
    </row>
    <row r="88" spans="1:11" x14ac:dyDescent="0.4">
      <c r="A88" t="s">
        <v>7</v>
      </c>
      <c r="B88" t="s">
        <v>21</v>
      </c>
      <c r="C88">
        <v>0.56479999999999997</v>
      </c>
      <c r="D88">
        <v>0.8498</v>
      </c>
      <c r="E88">
        <v>348.1</v>
      </c>
      <c r="F88">
        <v>101300</v>
      </c>
      <c r="G88" t="s">
        <v>20</v>
      </c>
      <c r="H88">
        <v>0.83892630000000001</v>
      </c>
      <c r="I88">
        <f t="shared" si="8"/>
        <v>1.2795598964462209</v>
      </c>
      <c r="J88">
        <v>346.52328</v>
      </c>
      <c r="K88">
        <f t="shared" si="7"/>
        <v>0.45295030163746708</v>
      </c>
    </row>
    <row r="89" spans="1:11" x14ac:dyDescent="0.4">
      <c r="A89" t="s">
        <v>7</v>
      </c>
      <c r="B89" t="s">
        <v>21</v>
      </c>
      <c r="C89">
        <v>0.60970000000000002</v>
      </c>
      <c r="D89">
        <v>0.86229999999999996</v>
      </c>
      <c r="E89">
        <v>347.02</v>
      </c>
      <c r="F89">
        <v>101300</v>
      </c>
      <c r="G89" t="s">
        <v>20</v>
      </c>
      <c r="H89">
        <v>0.86061889999999996</v>
      </c>
      <c r="I89">
        <f t="shared" si="8"/>
        <v>0.19495535196567215</v>
      </c>
      <c r="J89">
        <v>345.40066000000002</v>
      </c>
      <c r="K89">
        <f t="shared" si="7"/>
        <v>0.46664169212148165</v>
      </c>
    </row>
    <row r="90" spans="1:11" x14ac:dyDescent="0.4">
      <c r="A90" t="s">
        <v>7</v>
      </c>
      <c r="B90" t="s">
        <v>21</v>
      </c>
      <c r="C90">
        <v>0.64119999999999999</v>
      </c>
      <c r="D90">
        <v>0.87649999999999995</v>
      </c>
      <c r="E90">
        <v>346.51</v>
      </c>
      <c r="F90">
        <v>101300</v>
      </c>
      <c r="G90" t="s">
        <v>20</v>
      </c>
      <c r="H90">
        <v>0.87466630000000001</v>
      </c>
      <c r="I90">
        <f t="shared" si="8"/>
        <v>0.20920707358812757</v>
      </c>
      <c r="J90">
        <v>344.65525000000002</v>
      </c>
      <c r="K90">
        <f t="shared" si="7"/>
        <v>0.53526593749097207</v>
      </c>
    </row>
    <row r="91" spans="1:11" x14ac:dyDescent="0.4">
      <c r="A91" t="s">
        <v>7</v>
      </c>
      <c r="B91" t="s">
        <v>21</v>
      </c>
      <c r="C91">
        <v>0.6875</v>
      </c>
      <c r="D91">
        <v>0.89600000000000002</v>
      </c>
      <c r="E91">
        <v>344.85</v>
      </c>
      <c r="F91">
        <v>101300</v>
      </c>
      <c r="G91" t="s">
        <v>20</v>
      </c>
      <c r="H91">
        <v>0.89385510000000001</v>
      </c>
      <c r="I91">
        <f t="shared" si="8"/>
        <v>0.23938616071428626</v>
      </c>
      <c r="J91">
        <v>343.61529999999999</v>
      </c>
      <c r="K91">
        <f t="shared" si="7"/>
        <v>0.35803972741772716</v>
      </c>
    </row>
    <row r="92" spans="1:11" x14ac:dyDescent="0.4">
      <c r="A92" t="s">
        <v>7</v>
      </c>
      <c r="B92" t="s">
        <v>21</v>
      </c>
      <c r="C92">
        <v>0.69820000000000004</v>
      </c>
      <c r="D92">
        <v>0.90159999999999996</v>
      </c>
      <c r="E92">
        <v>344.56</v>
      </c>
      <c r="F92">
        <v>101300</v>
      </c>
      <c r="G92" t="s">
        <v>20</v>
      </c>
      <c r="H92">
        <v>0.89807490000000001</v>
      </c>
      <c r="I92">
        <f t="shared" si="8"/>
        <v>0.39098269742679104</v>
      </c>
      <c r="J92">
        <v>343.38353000000001</v>
      </c>
      <c r="K92">
        <f t="shared" si="7"/>
        <v>0.34144125841652972</v>
      </c>
    </row>
    <row r="93" spans="1:11" x14ac:dyDescent="0.4">
      <c r="A93" t="s">
        <v>7</v>
      </c>
      <c r="B93" t="s">
        <v>21</v>
      </c>
      <c r="C93">
        <v>0.75229999999999997</v>
      </c>
      <c r="D93">
        <v>0.9194</v>
      </c>
      <c r="E93">
        <v>343.55</v>
      </c>
      <c r="F93">
        <v>101300</v>
      </c>
      <c r="G93" t="s">
        <v>20</v>
      </c>
      <c r="H93">
        <v>0.9183848</v>
      </c>
      <c r="I93">
        <f t="shared" si="8"/>
        <v>0.11041983902545072</v>
      </c>
      <c r="J93">
        <v>342.25491</v>
      </c>
      <c r="K93">
        <f t="shared" si="7"/>
        <v>0.37697278416533719</v>
      </c>
    </row>
    <row r="94" spans="1:11" x14ac:dyDescent="0.4">
      <c r="A94" t="s">
        <v>7</v>
      </c>
      <c r="B94" t="s">
        <v>21</v>
      </c>
      <c r="C94">
        <v>0.7712</v>
      </c>
      <c r="D94">
        <v>0.92500000000000004</v>
      </c>
      <c r="E94">
        <v>342.73</v>
      </c>
      <c r="F94">
        <v>101300</v>
      </c>
      <c r="G94" t="s">
        <v>20</v>
      </c>
      <c r="H94">
        <v>0.92513350000000005</v>
      </c>
      <c r="I94">
        <f t="shared" si="8"/>
        <v>1.4432432432433362E-2</v>
      </c>
      <c r="J94">
        <v>341.87592000000001</v>
      </c>
      <c r="K94">
        <f t="shared" si="7"/>
        <v>0.24919907799142485</v>
      </c>
    </row>
    <row r="95" spans="1:11" x14ac:dyDescent="0.4">
      <c r="A95" t="s">
        <v>7</v>
      </c>
      <c r="B95" t="s">
        <v>21</v>
      </c>
      <c r="C95">
        <v>0.85750000000000004</v>
      </c>
      <c r="D95">
        <v>0.95609999999999995</v>
      </c>
      <c r="E95">
        <v>341.39</v>
      </c>
      <c r="F95">
        <v>101300</v>
      </c>
      <c r="G95" t="s">
        <v>20</v>
      </c>
      <c r="H95">
        <v>0.95432479999999997</v>
      </c>
      <c r="I95">
        <f t="shared" si="8"/>
        <v>0.18567095492103095</v>
      </c>
      <c r="J95">
        <v>340.22541000000001</v>
      </c>
      <c r="K95">
        <f t="shared" si="7"/>
        <v>0.3411318433463123</v>
      </c>
    </row>
    <row r="96" spans="1:11" x14ac:dyDescent="0.4">
      <c r="A96" t="s">
        <v>7</v>
      </c>
      <c r="B96" t="s">
        <v>21</v>
      </c>
      <c r="C96">
        <v>0.89229999999999998</v>
      </c>
      <c r="D96">
        <v>0.9647</v>
      </c>
      <c r="E96">
        <v>340.73</v>
      </c>
      <c r="F96">
        <v>101300</v>
      </c>
      <c r="G96" t="s">
        <v>20</v>
      </c>
      <c r="H96">
        <v>0.96559039999999996</v>
      </c>
      <c r="I96">
        <f t="shared" si="8"/>
        <v>9.2298123769043006E-2</v>
      </c>
      <c r="J96">
        <v>339.58882</v>
      </c>
      <c r="K96">
        <f t="shared" si="7"/>
        <v>0.33492207906554156</v>
      </c>
    </row>
    <row r="97" spans="1:11" x14ac:dyDescent="0.4">
      <c r="A97" t="s">
        <v>7</v>
      </c>
      <c r="B97" t="s">
        <v>21</v>
      </c>
      <c r="C97">
        <v>1</v>
      </c>
      <c r="D97">
        <v>1</v>
      </c>
      <c r="E97">
        <v>337.83</v>
      </c>
      <c r="F97">
        <v>101300</v>
      </c>
      <c r="G97" t="s">
        <v>20</v>
      </c>
      <c r="H97">
        <v>1</v>
      </c>
      <c r="I97">
        <f t="shared" si="8"/>
        <v>0</v>
      </c>
      <c r="J97">
        <v>337.67849000000001</v>
      </c>
      <c r="K97">
        <f t="shared" si="7"/>
        <v>4.4848000473603114E-2</v>
      </c>
    </row>
    <row r="98" spans="1:11" x14ac:dyDescent="0.4">
      <c r="A98" t="s">
        <v>24</v>
      </c>
      <c r="B98" t="s">
        <v>25</v>
      </c>
      <c r="C98">
        <v>0</v>
      </c>
      <c r="D98">
        <v>0</v>
      </c>
      <c r="E98">
        <v>358.7</v>
      </c>
      <c r="F98">
        <v>120000</v>
      </c>
      <c r="G98" t="s">
        <v>20</v>
      </c>
      <c r="H98">
        <v>0</v>
      </c>
      <c r="I98">
        <v>0</v>
      </c>
      <c r="J98">
        <v>358.70236</v>
      </c>
      <c r="K98">
        <f t="shared" si="7"/>
        <v>6.5793141901592748E-4</v>
      </c>
    </row>
    <row r="99" spans="1:11" x14ac:dyDescent="0.4">
      <c r="A99" t="s">
        <v>24</v>
      </c>
      <c r="B99" t="s">
        <v>25</v>
      </c>
      <c r="C99">
        <v>6.3799999999999996E-2</v>
      </c>
      <c r="D99">
        <v>6.1199999999999997E-2</v>
      </c>
      <c r="E99">
        <v>358.7</v>
      </c>
      <c r="F99">
        <v>120000</v>
      </c>
      <c r="G99" t="s">
        <v>20</v>
      </c>
      <c r="H99">
        <v>6.2461599999999999E-2</v>
      </c>
      <c r="I99">
        <f t="shared" si="8"/>
        <v>2.0614379084967349</v>
      </c>
      <c r="J99">
        <v>358.76422000000002</v>
      </c>
      <c r="K99">
        <f t="shared" si="7"/>
        <v>1.7903540563154269E-2</v>
      </c>
    </row>
    <row r="100" spans="1:11" x14ac:dyDescent="0.4">
      <c r="A100" t="s">
        <v>24</v>
      </c>
      <c r="B100" t="s">
        <v>25</v>
      </c>
      <c r="C100">
        <v>0.10340000000000001</v>
      </c>
      <c r="D100">
        <v>9.9599999999999994E-2</v>
      </c>
      <c r="E100">
        <v>358.75</v>
      </c>
      <c r="F100">
        <v>120000</v>
      </c>
      <c r="G100" t="s">
        <v>20</v>
      </c>
      <c r="H100">
        <v>0.1020881</v>
      </c>
      <c r="I100">
        <f t="shared" si="8"/>
        <v>2.4980923694779187</v>
      </c>
      <c r="J100">
        <v>358.78874999999999</v>
      </c>
      <c r="K100">
        <f t="shared" si="7"/>
        <v>1.0801393728221094E-2</v>
      </c>
    </row>
    <row r="101" spans="1:11" x14ac:dyDescent="0.4">
      <c r="A101" t="s">
        <v>24</v>
      </c>
      <c r="B101" t="s">
        <v>25</v>
      </c>
      <c r="C101">
        <v>0.11559999999999999</v>
      </c>
      <c r="D101">
        <v>0.1128</v>
      </c>
      <c r="E101">
        <v>358.75</v>
      </c>
      <c r="F101">
        <v>120000</v>
      </c>
      <c r="G101" t="s">
        <v>20</v>
      </c>
      <c r="H101">
        <v>0.1144163</v>
      </c>
      <c r="I101">
        <f t="shared" si="8"/>
        <v>1.4328900709219867</v>
      </c>
      <c r="J101">
        <v>358.79408000000001</v>
      </c>
      <c r="K101">
        <f t="shared" si="7"/>
        <v>1.2287108013939542E-2</v>
      </c>
    </row>
    <row r="102" spans="1:11" x14ac:dyDescent="0.4">
      <c r="A102" t="s">
        <v>24</v>
      </c>
      <c r="B102" t="s">
        <v>25</v>
      </c>
      <c r="C102">
        <v>0.14940000000000001</v>
      </c>
      <c r="D102">
        <v>0.1467</v>
      </c>
      <c r="E102">
        <v>358.8</v>
      </c>
      <c r="F102">
        <v>120000</v>
      </c>
      <c r="G102" t="s">
        <v>20</v>
      </c>
      <c r="H102">
        <v>0.14884230000000001</v>
      </c>
      <c r="I102">
        <f t="shared" si="8"/>
        <v>1.4603271983640176</v>
      </c>
      <c r="J102">
        <v>358.80329</v>
      </c>
      <c r="K102">
        <f t="shared" si="7"/>
        <v>9.1694537346507458E-4</v>
      </c>
    </row>
    <row r="103" spans="1:11" x14ac:dyDescent="0.4">
      <c r="A103" t="s">
        <v>24</v>
      </c>
      <c r="B103" t="s">
        <v>25</v>
      </c>
      <c r="C103">
        <v>0.15260000000000001</v>
      </c>
      <c r="D103">
        <v>0.15110000000000001</v>
      </c>
      <c r="E103">
        <v>358.8</v>
      </c>
      <c r="F103">
        <v>120000</v>
      </c>
      <c r="G103" t="s">
        <v>20</v>
      </c>
      <c r="H103">
        <v>0.15212100000000001</v>
      </c>
      <c r="I103">
        <f t="shared" si="8"/>
        <v>0.67571144937127336</v>
      </c>
      <c r="J103">
        <v>358.80374</v>
      </c>
      <c r="K103">
        <f t="shared" si="7"/>
        <v>1.0423634336659464E-3</v>
      </c>
    </row>
    <row r="104" spans="1:11" x14ac:dyDescent="0.4">
      <c r="A104" t="s">
        <v>24</v>
      </c>
      <c r="B104" t="s">
        <v>25</v>
      </c>
      <c r="C104">
        <v>0.19500000000000001</v>
      </c>
      <c r="D104">
        <v>0.19320000000000001</v>
      </c>
      <c r="E104">
        <v>358.85</v>
      </c>
      <c r="F104">
        <v>120000</v>
      </c>
      <c r="G104" t="s">
        <v>20</v>
      </c>
      <c r="H104">
        <v>0.19584750000000001</v>
      </c>
      <c r="I104">
        <f t="shared" si="8"/>
        <v>1.3703416149068308</v>
      </c>
      <c r="J104">
        <v>358.80250000000001</v>
      </c>
      <c r="K104">
        <f t="shared" si="7"/>
        <v>1.3236728438069844E-2</v>
      </c>
    </row>
    <row r="105" spans="1:11" x14ac:dyDescent="0.4">
      <c r="A105" t="s">
        <v>24</v>
      </c>
      <c r="B105" t="s">
        <v>25</v>
      </c>
      <c r="C105">
        <v>0.2198</v>
      </c>
      <c r="D105">
        <v>0.2185</v>
      </c>
      <c r="E105">
        <v>358.85</v>
      </c>
      <c r="F105">
        <v>120000</v>
      </c>
      <c r="G105" t="s">
        <v>20</v>
      </c>
      <c r="H105">
        <v>0.2216409</v>
      </c>
      <c r="I105">
        <f t="shared" si="8"/>
        <v>1.4374828375286051</v>
      </c>
      <c r="J105">
        <v>358.79561000000001</v>
      </c>
      <c r="K105">
        <f t="shared" si="7"/>
        <v>1.5156750731506798E-2</v>
      </c>
    </row>
    <row r="106" spans="1:11" x14ac:dyDescent="0.4">
      <c r="A106" t="s">
        <v>24</v>
      </c>
      <c r="B106" t="s">
        <v>25</v>
      </c>
      <c r="C106">
        <v>0.2336</v>
      </c>
      <c r="D106">
        <v>0.23380000000000001</v>
      </c>
      <c r="E106">
        <v>358.85</v>
      </c>
      <c r="F106">
        <v>120000</v>
      </c>
      <c r="G106" t="s">
        <v>20</v>
      </c>
      <c r="H106">
        <v>0.2360525</v>
      </c>
      <c r="I106">
        <f t="shared" si="8"/>
        <v>0.96343028229255379</v>
      </c>
      <c r="J106">
        <v>358.78978999999998</v>
      </c>
      <c r="K106">
        <f t="shared" si="7"/>
        <v>1.6778598300136689E-2</v>
      </c>
    </row>
    <row r="107" spans="1:11" x14ac:dyDescent="0.4">
      <c r="A107" t="s">
        <v>24</v>
      </c>
      <c r="B107" t="s">
        <v>25</v>
      </c>
      <c r="C107">
        <v>0.26100000000000001</v>
      </c>
      <c r="D107">
        <v>0.26350000000000001</v>
      </c>
      <c r="E107">
        <v>358.8</v>
      </c>
      <c r="F107">
        <v>120000</v>
      </c>
      <c r="G107" t="s">
        <v>20</v>
      </c>
      <c r="H107">
        <v>0.26477210000000001</v>
      </c>
      <c r="I107">
        <f t="shared" si="8"/>
        <v>0.48277039848197273</v>
      </c>
      <c r="J107">
        <v>358.77404000000001</v>
      </c>
      <c r="K107">
        <f t="shared" si="7"/>
        <v>7.2352285395757415E-3</v>
      </c>
    </row>
    <row r="108" spans="1:11" x14ac:dyDescent="0.4">
      <c r="A108" t="s">
        <v>24</v>
      </c>
      <c r="B108" t="s">
        <v>25</v>
      </c>
      <c r="C108">
        <v>0.26550000000000001</v>
      </c>
      <c r="D108">
        <v>0.26850000000000002</v>
      </c>
      <c r="E108">
        <v>358.8</v>
      </c>
      <c r="F108">
        <v>120000</v>
      </c>
      <c r="G108" t="s">
        <v>20</v>
      </c>
      <c r="H108">
        <v>0.26950039999999997</v>
      </c>
      <c r="I108">
        <f t="shared" si="8"/>
        <v>0.37258845437614779</v>
      </c>
      <c r="J108">
        <v>358.77091000000001</v>
      </c>
      <c r="K108">
        <f t="shared" si="7"/>
        <v>8.107580824971157E-3</v>
      </c>
    </row>
    <row r="109" spans="1:11" x14ac:dyDescent="0.4">
      <c r="A109" t="s">
        <v>24</v>
      </c>
      <c r="B109" t="s">
        <v>25</v>
      </c>
      <c r="C109">
        <v>0.27710000000000001</v>
      </c>
      <c r="D109">
        <v>0.27910000000000001</v>
      </c>
      <c r="E109">
        <v>358.75</v>
      </c>
      <c r="F109">
        <v>120000</v>
      </c>
      <c r="G109" t="s">
        <v>20</v>
      </c>
      <c r="H109">
        <v>0.2817016</v>
      </c>
      <c r="I109">
        <f t="shared" si="8"/>
        <v>0.93213901827301393</v>
      </c>
      <c r="J109">
        <v>358.76224999999999</v>
      </c>
      <c r="K109">
        <f t="shared" si="7"/>
        <v>3.4146341463399421E-3</v>
      </c>
    </row>
    <row r="110" spans="1:11" x14ac:dyDescent="0.4">
      <c r="A110" t="s">
        <v>24</v>
      </c>
      <c r="B110" t="s">
        <v>25</v>
      </c>
      <c r="C110">
        <v>0.2959</v>
      </c>
      <c r="D110">
        <v>0.29949999999999999</v>
      </c>
      <c r="E110">
        <v>358.75</v>
      </c>
      <c r="F110">
        <v>120000</v>
      </c>
      <c r="G110" t="s">
        <v>20</v>
      </c>
      <c r="H110">
        <v>0.30150929999999998</v>
      </c>
      <c r="I110">
        <f t="shared" si="8"/>
        <v>0.67088480801335282</v>
      </c>
      <c r="J110">
        <v>358.74590999999998</v>
      </c>
      <c r="K110">
        <f t="shared" si="7"/>
        <v>1.1400696864165142E-3</v>
      </c>
    </row>
    <row r="111" spans="1:11" x14ac:dyDescent="0.4">
      <c r="A111" t="s">
        <v>24</v>
      </c>
      <c r="B111" t="s">
        <v>25</v>
      </c>
      <c r="C111">
        <v>0.31740000000000002</v>
      </c>
      <c r="D111">
        <v>0.32240000000000002</v>
      </c>
      <c r="E111">
        <v>358.65</v>
      </c>
      <c r="F111">
        <v>120000</v>
      </c>
      <c r="G111" t="s">
        <v>20</v>
      </c>
      <c r="H111">
        <v>0.3241984</v>
      </c>
      <c r="I111">
        <f t="shared" si="8"/>
        <v>0.55781637717120902</v>
      </c>
      <c r="J111">
        <v>358.72415000000001</v>
      </c>
      <c r="K111">
        <f t="shared" si="7"/>
        <v>2.0674752544271983E-2</v>
      </c>
    </row>
    <row r="112" spans="1:11" x14ac:dyDescent="0.4">
      <c r="A112" t="s">
        <v>24</v>
      </c>
      <c r="B112" t="s">
        <v>25</v>
      </c>
      <c r="C112">
        <v>0.3417</v>
      </c>
      <c r="D112">
        <v>0.3488</v>
      </c>
      <c r="E112">
        <v>358.65</v>
      </c>
      <c r="F112">
        <v>120000</v>
      </c>
      <c r="G112" t="s">
        <v>20</v>
      </c>
      <c r="H112">
        <v>0.34986719999999999</v>
      </c>
      <c r="I112">
        <f t="shared" si="8"/>
        <v>0.30596330275229083</v>
      </c>
      <c r="J112">
        <v>358.69558000000001</v>
      </c>
      <c r="K112">
        <f t="shared" si="7"/>
        <v>1.2708768994849989E-2</v>
      </c>
    </row>
    <row r="113" spans="1:11" x14ac:dyDescent="0.4">
      <c r="A113" t="s">
        <v>24</v>
      </c>
      <c r="B113" t="s">
        <v>25</v>
      </c>
      <c r="C113">
        <v>0.38279999999999997</v>
      </c>
      <c r="D113">
        <v>0.3926</v>
      </c>
      <c r="E113">
        <v>358.55</v>
      </c>
      <c r="F113">
        <v>120000</v>
      </c>
      <c r="G113" t="s">
        <v>20</v>
      </c>
      <c r="H113">
        <v>0.39326610000000001</v>
      </c>
      <c r="I113">
        <f t="shared" si="8"/>
        <v>0.16966377992868129</v>
      </c>
      <c r="J113">
        <v>358.63796000000002</v>
      </c>
      <c r="K113">
        <f t="shared" si="7"/>
        <v>2.4532143355183264E-2</v>
      </c>
    </row>
    <row r="114" spans="1:11" x14ac:dyDescent="0.4">
      <c r="A114" t="s">
        <v>24</v>
      </c>
      <c r="B114" t="s">
        <v>25</v>
      </c>
      <c r="C114">
        <v>0.51690000000000003</v>
      </c>
      <c r="D114">
        <v>0.52929999999999999</v>
      </c>
      <c r="E114">
        <v>358.25</v>
      </c>
      <c r="F114">
        <v>120000</v>
      </c>
      <c r="G114" t="s">
        <v>20</v>
      </c>
      <c r="H114">
        <v>0.533084</v>
      </c>
      <c r="I114">
        <f t="shared" si="8"/>
        <v>0.71490648025694492</v>
      </c>
      <c r="J114">
        <v>358.38108999999997</v>
      </c>
      <c r="K114">
        <f t="shared" si="7"/>
        <v>3.6591765526858888E-2</v>
      </c>
    </row>
    <row r="115" spans="1:11" x14ac:dyDescent="0.4">
      <c r="A115" t="s">
        <v>24</v>
      </c>
      <c r="B115" t="s">
        <v>25</v>
      </c>
      <c r="C115">
        <v>0.56000000000000005</v>
      </c>
      <c r="D115">
        <v>0.57499999999999996</v>
      </c>
      <c r="E115">
        <v>358.15</v>
      </c>
      <c r="F115">
        <v>120000</v>
      </c>
      <c r="G115" t="s">
        <v>20</v>
      </c>
      <c r="H115">
        <v>0.57683580000000001</v>
      </c>
      <c r="I115">
        <f t="shared" si="8"/>
        <v>0.31926956521740074</v>
      </c>
      <c r="J115">
        <v>358.28316999999998</v>
      </c>
      <c r="K115">
        <f t="shared" si="7"/>
        <v>3.7182744660060559E-2</v>
      </c>
    </row>
    <row r="116" spans="1:11" x14ac:dyDescent="0.4">
      <c r="A116" t="s">
        <v>24</v>
      </c>
      <c r="B116" t="s">
        <v>25</v>
      </c>
      <c r="C116">
        <v>0.62460000000000004</v>
      </c>
      <c r="D116">
        <v>0.6371</v>
      </c>
      <c r="E116">
        <v>358.05</v>
      </c>
      <c r="F116">
        <v>120000</v>
      </c>
      <c r="G116" t="s">
        <v>20</v>
      </c>
      <c r="H116">
        <v>0.64073939999999996</v>
      </c>
      <c r="I116">
        <f t="shared" si="8"/>
        <v>0.57124470255846171</v>
      </c>
      <c r="J116">
        <v>358.1336</v>
      </c>
      <c r="K116">
        <f t="shared" si="7"/>
        <v>2.3348694316433431E-2</v>
      </c>
    </row>
    <row r="117" spans="1:11" x14ac:dyDescent="0.4">
      <c r="A117" t="s">
        <v>24</v>
      </c>
      <c r="B117" t="s">
        <v>25</v>
      </c>
      <c r="C117">
        <v>0.67830000000000001</v>
      </c>
      <c r="D117">
        <v>0.69089999999999996</v>
      </c>
      <c r="E117">
        <v>357.95</v>
      </c>
      <c r="F117">
        <v>120000</v>
      </c>
      <c r="G117" t="s">
        <v>20</v>
      </c>
      <c r="H117">
        <v>0.69203809999999999</v>
      </c>
      <c r="I117">
        <f t="shared" si="8"/>
        <v>0.16472716746273425</v>
      </c>
      <c r="J117">
        <v>358.01701000000003</v>
      </c>
      <c r="K117">
        <f t="shared" si="7"/>
        <v>1.8720491688794208E-2</v>
      </c>
    </row>
    <row r="118" spans="1:11" x14ac:dyDescent="0.4">
      <c r="A118" t="s">
        <v>24</v>
      </c>
      <c r="B118" t="s">
        <v>25</v>
      </c>
      <c r="C118">
        <v>0.72740000000000005</v>
      </c>
      <c r="D118">
        <v>0.7349</v>
      </c>
      <c r="E118">
        <v>357.85</v>
      </c>
      <c r="F118">
        <v>120000</v>
      </c>
      <c r="G118" t="s">
        <v>20</v>
      </c>
      <c r="H118">
        <v>0.73735249999999997</v>
      </c>
      <c r="I118">
        <f t="shared" si="8"/>
        <v>0.33371887331609318</v>
      </c>
      <c r="J118">
        <v>357.92773</v>
      </c>
      <c r="K118">
        <f t="shared" si="7"/>
        <v>2.1721391644536563E-2</v>
      </c>
    </row>
    <row r="119" spans="1:11" x14ac:dyDescent="0.4">
      <c r="A119" t="s">
        <v>24</v>
      </c>
      <c r="B119" t="s">
        <v>25</v>
      </c>
      <c r="C119">
        <v>0.74870000000000003</v>
      </c>
      <c r="D119">
        <v>0.75939999999999996</v>
      </c>
      <c r="E119">
        <v>357.75</v>
      </c>
      <c r="F119">
        <v>120000</v>
      </c>
      <c r="G119" t="s">
        <v>20</v>
      </c>
      <c r="H119">
        <v>0.75654149999999998</v>
      </c>
      <c r="I119">
        <f t="shared" si="8"/>
        <v>0.37641559125625312</v>
      </c>
      <c r="J119">
        <v>357.89728000000002</v>
      </c>
      <c r="K119">
        <f t="shared" si="7"/>
        <v>4.1168413696722118E-2</v>
      </c>
    </row>
    <row r="120" spans="1:11" x14ac:dyDescent="0.4">
      <c r="A120" t="s">
        <v>24</v>
      </c>
      <c r="B120" t="s">
        <v>25</v>
      </c>
      <c r="C120">
        <v>0.75939999999999996</v>
      </c>
      <c r="D120">
        <v>0.76249999999999996</v>
      </c>
      <c r="E120">
        <v>357.75</v>
      </c>
      <c r="F120">
        <v>120000</v>
      </c>
      <c r="G120" t="s">
        <v>20</v>
      </c>
      <c r="H120">
        <v>0.76608050000000005</v>
      </c>
      <c r="I120">
        <f t="shared" si="8"/>
        <v>0.46957377049181614</v>
      </c>
      <c r="J120">
        <v>357.88443000000001</v>
      </c>
      <c r="K120">
        <f t="shared" si="7"/>
        <v>3.7576519916145051E-2</v>
      </c>
    </row>
    <row r="121" spans="1:11" x14ac:dyDescent="0.4">
      <c r="A121" t="s">
        <v>24</v>
      </c>
      <c r="B121" t="s">
        <v>25</v>
      </c>
      <c r="C121">
        <v>0.77</v>
      </c>
      <c r="D121">
        <v>0.77159999999999995</v>
      </c>
      <c r="E121">
        <v>357.75</v>
      </c>
      <c r="F121">
        <v>120000</v>
      </c>
      <c r="G121" t="s">
        <v>20</v>
      </c>
      <c r="H121">
        <v>0.7754683</v>
      </c>
      <c r="I121">
        <f t="shared" si="8"/>
        <v>0.50133488854329278</v>
      </c>
      <c r="J121">
        <v>357.87355000000002</v>
      </c>
      <c r="K121">
        <f t="shared" si="7"/>
        <v>3.4535290006994526E-2</v>
      </c>
    </row>
    <row r="122" spans="1:11" x14ac:dyDescent="0.4">
      <c r="A122" t="s">
        <v>24</v>
      </c>
      <c r="B122" t="s">
        <v>25</v>
      </c>
      <c r="C122">
        <v>0.80510000000000004</v>
      </c>
      <c r="D122">
        <v>0.80600000000000005</v>
      </c>
      <c r="E122">
        <v>357.75</v>
      </c>
      <c r="F122">
        <v>120000</v>
      </c>
      <c r="G122" t="s">
        <v>20</v>
      </c>
      <c r="H122">
        <v>0.80617550000000004</v>
      </c>
      <c r="I122">
        <f t="shared" si="8"/>
        <v>2.1774193548386486E-2</v>
      </c>
      <c r="J122">
        <v>357.85293999999999</v>
      </c>
      <c r="K122">
        <f t="shared" si="7"/>
        <v>2.8774283717677037E-2</v>
      </c>
    </row>
    <row r="123" spans="1:11" x14ac:dyDescent="0.4">
      <c r="A123" t="s">
        <v>24</v>
      </c>
      <c r="B123" t="s">
        <v>25</v>
      </c>
      <c r="C123">
        <v>0.84660000000000002</v>
      </c>
      <c r="D123">
        <v>0.84219999999999995</v>
      </c>
      <c r="E123">
        <v>357.85</v>
      </c>
      <c r="F123">
        <v>120000</v>
      </c>
      <c r="G123" t="s">
        <v>20</v>
      </c>
      <c r="H123">
        <v>0.84204429999999997</v>
      </c>
      <c r="I123">
        <f t="shared" si="8"/>
        <v>1.8487295179290059E-2</v>
      </c>
      <c r="J123">
        <v>357.86809</v>
      </c>
      <c r="K123">
        <f t="shared" si="7"/>
        <v>5.0551907223619959E-3</v>
      </c>
    </row>
    <row r="124" spans="1:11" x14ac:dyDescent="0.4">
      <c r="A124" t="s">
        <v>24</v>
      </c>
      <c r="B124" t="s">
        <v>25</v>
      </c>
      <c r="C124">
        <v>0.88090000000000002</v>
      </c>
      <c r="D124">
        <v>0.87380000000000002</v>
      </c>
      <c r="E124">
        <v>357.95</v>
      </c>
      <c r="F124">
        <v>120000</v>
      </c>
      <c r="G124" t="s">
        <v>20</v>
      </c>
      <c r="H124">
        <v>0.87190040000000002</v>
      </c>
      <c r="I124">
        <f t="shared" si="8"/>
        <v>0.21739528496223406</v>
      </c>
      <c r="J124">
        <v>357.92552999999998</v>
      </c>
      <c r="K124">
        <f t="shared" si="7"/>
        <v>6.836150300323504E-3</v>
      </c>
    </row>
    <row r="125" spans="1:11" x14ac:dyDescent="0.4">
      <c r="A125" t="s">
        <v>24</v>
      </c>
      <c r="B125" t="s">
        <v>25</v>
      </c>
      <c r="C125">
        <v>0.90890000000000004</v>
      </c>
      <c r="D125">
        <v>0.90010000000000001</v>
      </c>
      <c r="E125">
        <v>358.15</v>
      </c>
      <c r="F125">
        <v>120000</v>
      </c>
      <c r="G125" t="s">
        <v>20</v>
      </c>
      <c r="H125">
        <v>0.89706200000000003</v>
      </c>
      <c r="I125">
        <f t="shared" si="8"/>
        <v>0.33751805354960396</v>
      </c>
      <c r="J125">
        <v>358.01485000000002</v>
      </c>
      <c r="K125">
        <f t="shared" si="7"/>
        <v>3.7735585648458261E-2</v>
      </c>
    </row>
    <row r="126" spans="1:11" x14ac:dyDescent="0.4">
      <c r="A126" t="s">
        <v>24</v>
      </c>
      <c r="B126" t="s">
        <v>25</v>
      </c>
      <c r="C126">
        <v>0.93149999999999999</v>
      </c>
      <c r="D126">
        <v>0.92290000000000005</v>
      </c>
      <c r="E126">
        <v>358.25</v>
      </c>
      <c r="F126">
        <v>120000</v>
      </c>
      <c r="G126" t="s">
        <v>20</v>
      </c>
      <c r="H126">
        <v>0.91849250000000005</v>
      </c>
      <c r="I126">
        <f t="shared" si="8"/>
        <v>0.47757070105103572</v>
      </c>
      <c r="J126">
        <v>358.12571000000003</v>
      </c>
      <c r="K126">
        <f t="shared" si="7"/>
        <v>3.469364968596611E-2</v>
      </c>
    </row>
    <row r="127" spans="1:11" x14ac:dyDescent="0.4">
      <c r="A127" t="s">
        <v>24</v>
      </c>
      <c r="B127" t="s">
        <v>25</v>
      </c>
      <c r="C127">
        <v>0.94940000000000002</v>
      </c>
      <c r="D127">
        <v>0.94120000000000004</v>
      </c>
      <c r="E127">
        <v>358.45</v>
      </c>
      <c r="F127">
        <v>120000</v>
      </c>
      <c r="G127" t="s">
        <v>20</v>
      </c>
      <c r="H127">
        <v>0.93667619999999996</v>
      </c>
      <c r="I127">
        <f t="shared" si="8"/>
        <v>0.48064173395665932</v>
      </c>
      <c r="J127">
        <v>358.24723999999998</v>
      </c>
      <c r="K127">
        <f t="shared" si="7"/>
        <v>5.6565769284422383E-2</v>
      </c>
    </row>
    <row r="128" spans="1:11" x14ac:dyDescent="0.4">
      <c r="A128" t="s">
        <v>24</v>
      </c>
      <c r="B128" t="s">
        <v>25</v>
      </c>
      <c r="C128">
        <v>0.96</v>
      </c>
      <c r="D128">
        <v>0.95199999999999996</v>
      </c>
      <c r="E128">
        <v>358.65</v>
      </c>
      <c r="F128">
        <v>120000</v>
      </c>
      <c r="G128" t="s">
        <v>20</v>
      </c>
      <c r="H128">
        <v>0.94817830000000003</v>
      </c>
      <c r="I128">
        <f t="shared" si="8"/>
        <v>0.40143907563024456</v>
      </c>
      <c r="J128">
        <v>358.33762000000002</v>
      </c>
      <c r="K128">
        <f t="shared" si="7"/>
        <v>8.7098842883022984E-2</v>
      </c>
    </row>
    <row r="129" spans="1:11" x14ac:dyDescent="0.4">
      <c r="A129" t="s">
        <v>24</v>
      </c>
      <c r="B129" t="s">
        <v>25</v>
      </c>
      <c r="C129">
        <v>0.97850000000000004</v>
      </c>
      <c r="D129">
        <v>0.97340000000000004</v>
      </c>
      <c r="E129">
        <v>358.75</v>
      </c>
      <c r="F129">
        <v>120000</v>
      </c>
      <c r="G129" t="s">
        <v>20</v>
      </c>
      <c r="H129">
        <v>0.9701111</v>
      </c>
      <c r="I129">
        <f t="shared" si="8"/>
        <v>0.33787754263407016</v>
      </c>
      <c r="J129">
        <v>358.53897999999998</v>
      </c>
      <c r="K129">
        <f t="shared" si="7"/>
        <v>5.8820905923350264E-2</v>
      </c>
    </row>
    <row r="130" spans="1:11" x14ac:dyDescent="0.4">
      <c r="A130" t="s">
        <v>24</v>
      </c>
      <c r="B130" t="s">
        <v>25</v>
      </c>
      <c r="C130">
        <v>1</v>
      </c>
      <c r="D130">
        <v>1</v>
      </c>
      <c r="E130">
        <v>358.85</v>
      </c>
      <c r="F130">
        <v>120000</v>
      </c>
      <c r="G130" t="s">
        <v>20</v>
      </c>
      <c r="H130">
        <v>1</v>
      </c>
      <c r="I130">
        <f t="shared" si="8"/>
        <v>0</v>
      </c>
      <c r="J130">
        <v>358.87202000000002</v>
      </c>
      <c r="K130">
        <f t="shared" si="7"/>
        <v>6.1362686359196627E-3</v>
      </c>
    </row>
  </sheetData>
  <autoFilter ref="A1:M15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黎叙锐</dc:creator>
  <cp:lastModifiedBy>叙锐 黎</cp:lastModifiedBy>
  <dcterms:created xsi:type="dcterms:W3CDTF">2015-06-05T18:19:34Z</dcterms:created>
  <dcterms:modified xsi:type="dcterms:W3CDTF">2025-12-29T06:01:11Z</dcterms:modified>
</cp:coreProperties>
</file>