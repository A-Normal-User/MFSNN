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File\2025-2026秋\上课\VLE_repair_plan\test\"/>
    </mc:Choice>
  </mc:AlternateContent>
  <xr:revisionPtr revIDLastSave="0" documentId="13_ncr:1_{C37F5BA1-18BB-4D48-A27B-F761A4D23C3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Sheet1!$A$1:$M$123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97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M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K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</calcChain>
</file>

<file path=xl/sharedStrings.xml><?xml version="1.0" encoding="utf-8"?>
<sst xmlns="http://schemas.openxmlformats.org/spreadsheetml/2006/main" count="400" uniqueCount="32">
  <si>
    <t>mol1</t>
    <phoneticPr fontId="1" type="noConversion"/>
  </si>
  <si>
    <t>mol2</t>
    <phoneticPr fontId="1" type="noConversion"/>
  </si>
  <si>
    <t>x1</t>
    <phoneticPr fontId="1" type="noConversion"/>
  </si>
  <si>
    <t>y1</t>
    <phoneticPr fontId="1" type="noConversion"/>
  </si>
  <si>
    <t>T</t>
    <phoneticPr fontId="1" type="noConversion"/>
  </si>
  <si>
    <t>P</t>
    <phoneticPr fontId="1" type="noConversion"/>
  </si>
  <si>
    <t>N-HEXANE</t>
  </si>
  <si>
    <t>METHANOL</t>
  </si>
  <si>
    <t>tag</t>
    <phoneticPr fontId="1" type="noConversion"/>
  </si>
  <si>
    <t>y_pred</t>
    <phoneticPr fontId="1" type="noConversion"/>
  </si>
  <si>
    <t>y_aard</t>
    <phoneticPr fontId="1" type="noConversion"/>
  </si>
  <si>
    <t>T_pred</t>
    <phoneticPr fontId="1" type="noConversion"/>
  </si>
  <si>
    <t>T_aard</t>
    <phoneticPr fontId="1" type="noConversion"/>
  </si>
  <si>
    <t>P_pred</t>
    <phoneticPr fontId="1" type="noConversion"/>
  </si>
  <si>
    <t>P_aard</t>
    <phoneticPr fontId="1" type="noConversion"/>
  </si>
  <si>
    <t>PYRIDINE</t>
    <phoneticPr fontId="1" type="noConversion"/>
  </si>
  <si>
    <t>ISOBUTANOL</t>
    <phoneticPr fontId="1" type="noConversion"/>
  </si>
  <si>
    <t>ISOBUTANOL</t>
  </si>
  <si>
    <t>PYRIDINE</t>
  </si>
  <si>
    <t>1,4-DIOXANE</t>
  </si>
  <si>
    <t>1,4-DIOXANE</t>
    <phoneticPr fontId="1" type="noConversion"/>
  </si>
  <si>
    <t>PYRIDINE</t>
    <phoneticPr fontId="1" type="noConversion"/>
  </si>
  <si>
    <t>N-HEXANE</t>
    <phoneticPr fontId="1" type="noConversion"/>
  </si>
  <si>
    <t>1,4-DIOXANE</t>
    <phoneticPr fontId="1" type="noConversion"/>
  </si>
  <si>
    <t>1-PROPANOL</t>
  </si>
  <si>
    <t>CHLOROFORM</t>
  </si>
  <si>
    <t>P</t>
  </si>
  <si>
    <t>2-BUTANOL</t>
  </si>
  <si>
    <t>CHLOROFORM</t>
    <phoneticPr fontId="1" type="noConversion"/>
  </si>
  <si>
    <t>METHANOL</t>
    <phoneticPr fontId="1" type="noConversion"/>
  </si>
  <si>
    <t>BENZENE</t>
  </si>
  <si>
    <t>PERFLUOROBENZENE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</si>
</sst>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"/>
  <sheetViews>
    <sheetView tabSelected="1" workbookViewId="0">
      <pane ySplit="1" topLeftCell="A92" activePane="bottomLeft" state="frozen"/>
      <selection pane="bottomLeft" activeCell="I98" sqref="I98"/>
    </sheetView>
  </sheetViews>
  <sheetFormatPr defaultRowHeight="13.9" x14ac:dyDescent="0.4"/>
  <cols>
    <col min="1" max="1" width="23.265625" bestFit="1" customWidth="1"/>
    <col min="2" max="2" width="19.13281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4">
      <c r="A2" t="s">
        <v>15</v>
      </c>
      <c r="B2" t="s">
        <v>16</v>
      </c>
      <c r="C2">
        <v>0</v>
      </c>
      <c r="D2">
        <v>0</v>
      </c>
      <c r="E2">
        <v>375</v>
      </c>
      <c r="F2">
        <v>81500</v>
      </c>
      <c r="G2" t="s">
        <v>5</v>
      </c>
      <c r="H2">
        <v>0</v>
      </c>
      <c r="I2">
        <v>0</v>
      </c>
      <c r="J2">
        <v>375.02010000000001</v>
      </c>
      <c r="K2">
        <f t="shared" ref="K2:K15" si="0">100*ABS((J2-E2)/E2)</f>
        <v>5.3600000000036136E-3</v>
      </c>
    </row>
    <row r="3" spans="1:13" x14ac:dyDescent="0.4">
      <c r="A3" t="s">
        <v>15</v>
      </c>
      <c r="B3" t="s">
        <v>17</v>
      </c>
      <c r="C3">
        <v>3.4000000000000002E-2</v>
      </c>
      <c r="D3">
        <v>2.3E-2</v>
      </c>
      <c r="E3">
        <v>375.3</v>
      </c>
      <c r="F3">
        <v>81500</v>
      </c>
      <c r="G3" t="s">
        <v>5</v>
      </c>
      <c r="H3">
        <v>2.7494399999999999E-2</v>
      </c>
      <c r="I3">
        <f t="shared" ref="I3:I14" si="1">100*ABS((H3-D3)/D3)</f>
        <v>19.540869565217385</v>
      </c>
      <c r="J3">
        <v>375.19639999999998</v>
      </c>
      <c r="K3">
        <f t="shared" si="0"/>
        <v>2.7604583000274064E-2</v>
      </c>
    </row>
    <row r="4" spans="1:13" x14ac:dyDescent="0.4">
      <c r="A4" t="s">
        <v>18</v>
      </c>
      <c r="B4" t="s">
        <v>17</v>
      </c>
      <c r="C4">
        <v>0.106</v>
      </c>
      <c r="D4">
        <v>7.4999999999999997E-2</v>
      </c>
      <c r="E4">
        <v>376</v>
      </c>
      <c r="F4">
        <v>81500</v>
      </c>
      <c r="G4" t="s">
        <v>5</v>
      </c>
      <c r="H4">
        <v>8.7177500000000005E-2</v>
      </c>
      <c r="I4">
        <f t="shared" si="1"/>
        <v>16.236666666666679</v>
      </c>
      <c r="J4">
        <v>375.57490000000001</v>
      </c>
      <c r="K4">
        <f t="shared" si="0"/>
        <v>0.11305851063829421</v>
      </c>
    </row>
    <row r="5" spans="1:13" x14ac:dyDescent="0.4">
      <c r="A5" t="s">
        <v>18</v>
      </c>
      <c r="B5" t="s">
        <v>17</v>
      </c>
      <c r="C5">
        <v>0.16900000000000001</v>
      </c>
      <c r="D5">
        <v>0.126</v>
      </c>
      <c r="E5">
        <v>376.6</v>
      </c>
      <c r="F5">
        <v>81500</v>
      </c>
      <c r="G5" t="s">
        <v>5</v>
      </c>
      <c r="H5">
        <v>0.1410323</v>
      </c>
      <c r="I5">
        <f t="shared" si="1"/>
        <v>11.930396825396825</v>
      </c>
      <c r="J5">
        <v>375.91199999999998</v>
      </c>
      <c r="K5">
        <f t="shared" si="0"/>
        <v>0.1826872012745738</v>
      </c>
    </row>
    <row r="6" spans="1:13" x14ac:dyDescent="0.4">
      <c r="A6" t="s">
        <v>18</v>
      </c>
      <c r="B6" t="s">
        <v>17</v>
      </c>
      <c r="C6">
        <v>0.32600000000000001</v>
      </c>
      <c r="D6">
        <v>0.27200000000000002</v>
      </c>
      <c r="E6">
        <v>377.8</v>
      </c>
      <c r="F6">
        <v>81500</v>
      </c>
      <c r="G6" t="s">
        <v>5</v>
      </c>
      <c r="H6">
        <v>0.28191050000000001</v>
      </c>
      <c r="I6">
        <f t="shared" si="1"/>
        <v>3.6435661764705842</v>
      </c>
      <c r="J6">
        <v>376.77670000000001</v>
      </c>
      <c r="K6">
        <f t="shared" si="0"/>
        <v>0.27085759661196562</v>
      </c>
    </row>
    <row r="7" spans="1:13" x14ac:dyDescent="0.4">
      <c r="A7" t="s">
        <v>18</v>
      </c>
      <c r="B7" t="s">
        <v>17</v>
      </c>
      <c r="C7">
        <v>0.46800000000000003</v>
      </c>
      <c r="D7">
        <v>0.41899999999999998</v>
      </c>
      <c r="E7">
        <v>378.9</v>
      </c>
      <c r="F7">
        <v>81500</v>
      </c>
      <c r="G7" t="s">
        <v>5</v>
      </c>
      <c r="H7">
        <v>0.41761120000000002</v>
      </c>
      <c r="I7">
        <f t="shared" si="1"/>
        <v>0.33145584725536226</v>
      </c>
      <c r="J7">
        <v>377.59109999999998</v>
      </c>
      <c r="K7">
        <f t="shared" si="0"/>
        <v>0.34544734758511331</v>
      </c>
    </row>
    <row r="8" spans="1:13" x14ac:dyDescent="0.4">
      <c r="A8" t="s">
        <v>18</v>
      </c>
      <c r="B8" t="s">
        <v>17</v>
      </c>
      <c r="C8">
        <v>0.54700000000000004</v>
      </c>
      <c r="D8">
        <v>0.503</v>
      </c>
      <c r="E8">
        <v>379.4</v>
      </c>
      <c r="F8">
        <v>81500</v>
      </c>
      <c r="G8" t="s">
        <v>5</v>
      </c>
      <c r="H8">
        <v>0.49656519999999998</v>
      </c>
      <c r="I8">
        <f t="shared" si="1"/>
        <v>1.2792842942345961</v>
      </c>
      <c r="J8">
        <v>378.05869999999999</v>
      </c>
      <c r="K8">
        <f t="shared" si="0"/>
        <v>0.35353189246177907</v>
      </c>
    </row>
    <row r="9" spans="1:13" x14ac:dyDescent="0.4">
      <c r="A9" t="s">
        <v>18</v>
      </c>
      <c r="B9" t="s">
        <v>17</v>
      </c>
      <c r="C9">
        <v>0.59699999999999998</v>
      </c>
      <c r="D9">
        <v>0.55900000000000005</v>
      </c>
      <c r="E9">
        <v>379.8</v>
      </c>
      <c r="F9">
        <v>81500</v>
      </c>
      <c r="G9" t="s">
        <v>5</v>
      </c>
      <c r="H9">
        <v>0.54783440000000005</v>
      </c>
      <c r="I9">
        <f t="shared" si="1"/>
        <v>1.9974239713774593</v>
      </c>
      <c r="J9">
        <v>378.36040000000003</v>
      </c>
      <c r="K9">
        <f t="shared" si="0"/>
        <v>0.37904160084254462</v>
      </c>
    </row>
    <row r="10" spans="1:13" x14ac:dyDescent="0.4">
      <c r="A10" t="s">
        <v>21</v>
      </c>
      <c r="B10" t="s">
        <v>17</v>
      </c>
      <c r="C10">
        <v>0.64400000000000002</v>
      </c>
      <c r="D10">
        <v>0.61199999999999999</v>
      </c>
      <c r="E10">
        <v>380</v>
      </c>
      <c r="F10">
        <v>81500</v>
      </c>
      <c r="G10" t="s">
        <v>5</v>
      </c>
      <c r="H10">
        <v>0.59695750000000003</v>
      </c>
      <c r="I10">
        <f t="shared" si="1"/>
        <v>2.4579248366013005</v>
      </c>
      <c r="J10">
        <v>378.64830000000001</v>
      </c>
      <c r="K10">
        <f t="shared" si="0"/>
        <v>0.35571052631578787</v>
      </c>
    </row>
    <row r="11" spans="1:13" x14ac:dyDescent="0.4">
      <c r="A11" t="s">
        <v>18</v>
      </c>
      <c r="B11" t="s">
        <v>17</v>
      </c>
      <c r="C11">
        <v>0.69199999999999995</v>
      </c>
      <c r="D11">
        <v>0.66500000000000004</v>
      </c>
      <c r="E11">
        <v>380.2</v>
      </c>
      <c r="F11">
        <v>81500</v>
      </c>
      <c r="G11" t="s">
        <v>5</v>
      </c>
      <c r="H11">
        <v>0.64806889999999995</v>
      </c>
      <c r="I11">
        <f t="shared" si="1"/>
        <v>2.546030075187983</v>
      </c>
      <c r="J11">
        <v>378.9468</v>
      </c>
      <c r="K11">
        <f t="shared" si="0"/>
        <v>0.32961599158337518</v>
      </c>
    </row>
    <row r="12" spans="1:13" x14ac:dyDescent="0.4">
      <c r="A12" t="s">
        <v>18</v>
      </c>
      <c r="B12" t="s">
        <v>17</v>
      </c>
      <c r="C12">
        <v>0.746</v>
      </c>
      <c r="D12">
        <v>0.72599999999999998</v>
      </c>
      <c r="E12">
        <v>380.3</v>
      </c>
      <c r="F12">
        <v>81500</v>
      </c>
      <c r="G12" t="s">
        <v>5</v>
      </c>
      <c r="H12">
        <v>0.70672690000000005</v>
      </c>
      <c r="I12">
        <f t="shared" si="1"/>
        <v>2.6546969696969605</v>
      </c>
      <c r="J12">
        <v>379.28840000000002</v>
      </c>
      <c r="K12">
        <f t="shared" si="0"/>
        <v>0.26600052590060141</v>
      </c>
    </row>
    <row r="13" spans="1:13" x14ac:dyDescent="0.4">
      <c r="A13" t="s">
        <v>18</v>
      </c>
      <c r="B13" t="s">
        <v>17</v>
      </c>
      <c r="C13">
        <v>0.78</v>
      </c>
      <c r="D13">
        <v>0.76500000000000001</v>
      </c>
      <c r="E13">
        <v>380.5</v>
      </c>
      <c r="F13">
        <v>81500</v>
      </c>
      <c r="G13" t="s">
        <v>5</v>
      </c>
      <c r="H13">
        <v>0.74429959999999995</v>
      </c>
      <c r="I13">
        <f t="shared" si="1"/>
        <v>2.7059346405228841</v>
      </c>
      <c r="J13">
        <v>379.5068</v>
      </c>
      <c r="K13">
        <f t="shared" si="0"/>
        <v>0.26102496714848927</v>
      </c>
    </row>
    <row r="14" spans="1:13" x14ac:dyDescent="0.4">
      <c r="A14" t="s">
        <v>18</v>
      </c>
      <c r="B14" t="s">
        <v>17</v>
      </c>
      <c r="C14">
        <v>0.86699999999999999</v>
      </c>
      <c r="D14">
        <v>0.86</v>
      </c>
      <c r="E14">
        <v>380.7</v>
      </c>
      <c r="F14">
        <v>81500</v>
      </c>
      <c r="G14" t="s">
        <v>5</v>
      </c>
      <c r="H14">
        <v>0.84275250000000002</v>
      </c>
      <c r="I14">
        <f t="shared" si="1"/>
        <v>2.0055232558139502</v>
      </c>
      <c r="J14">
        <v>380.07799999999997</v>
      </c>
      <c r="K14">
        <f t="shared" si="0"/>
        <v>0.16338324139742949</v>
      </c>
    </row>
    <row r="15" spans="1:13" x14ac:dyDescent="0.4">
      <c r="A15" t="s">
        <v>18</v>
      </c>
      <c r="B15" t="s">
        <v>17</v>
      </c>
      <c r="C15">
        <v>1</v>
      </c>
      <c r="D15">
        <v>1</v>
      </c>
      <c r="E15">
        <v>381</v>
      </c>
      <c r="F15">
        <v>81500</v>
      </c>
      <c r="G15" t="s">
        <v>5</v>
      </c>
      <c r="H15">
        <v>1</v>
      </c>
      <c r="I15">
        <v>0</v>
      </c>
      <c r="J15">
        <v>380.98989999999998</v>
      </c>
      <c r="K15">
        <f t="shared" si="0"/>
        <v>2.6509186351765476E-3</v>
      </c>
    </row>
    <row r="16" spans="1:13" x14ac:dyDescent="0.4">
      <c r="A16" t="s">
        <v>6</v>
      </c>
      <c r="B16" t="s">
        <v>19</v>
      </c>
      <c r="C16">
        <v>0</v>
      </c>
      <c r="D16">
        <v>0</v>
      </c>
      <c r="E16">
        <v>308.14999999999998</v>
      </c>
      <c r="F16">
        <v>7899</v>
      </c>
      <c r="G16" t="s">
        <v>4</v>
      </c>
      <c r="H16">
        <v>0</v>
      </c>
      <c r="I16">
        <v>0</v>
      </c>
      <c r="L16">
        <v>8279.2900000000009</v>
      </c>
      <c r="M16">
        <f t="shared" ref="M16:M39" si="2">100*ABS((L16-F16)/F16)</f>
        <v>4.8144068869477259</v>
      </c>
    </row>
    <row r="17" spans="1:13" x14ac:dyDescent="0.4">
      <c r="A17" t="s">
        <v>6</v>
      </c>
      <c r="B17" t="s">
        <v>19</v>
      </c>
      <c r="C17">
        <v>2.3800000000000002E-2</v>
      </c>
      <c r="D17">
        <v>0.29699999999999999</v>
      </c>
      <c r="E17">
        <v>308.14999999999998</v>
      </c>
      <c r="F17">
        <v>11055</v>
      </c>
      <c r="G17" t="s">
        <v>4</v>
      </c>
      <c r="H17">
        <v>0.31671290000000002</v>
      </c>
      <c r="I17">
        <f t="shared" ref="I17:I38" si="3">100*ABS((H17-D17)/D17)</f>
        <v>6.6373400673400793</v>
      </c>
      <c r="L17">
        <v>11844.13</v>
      </c>
      <c r="M17">
        <f t="shared" si="2"/>
        <v>7.1382180009045619</v>
      </c>
    </row>
    <row r="18" spans="1:13" x14ac:dyDescent="0.4">
      <c r="A18" t="s">
        <v>6</v>
      </c>
      <c r="B18" t="s">
        <v>20</v>
      </c>
      <c r="C18">
        <v>5.21E-2</v>
      </c>
      <c r="D18">
        <v>0.4471</v>
      </c>
      <c r="E18">
        <v>308.14999999999998</v>
      </c>
      <c r="F18">
        <v>14094</v>
      </c>
      <c r="G18" t="s">
        <v>4</v>
      </c>
      <c r="H18">
        <v>0.47881960000000001</v>
      </c>
      <c r="I18">
        <f t="shared" si="3"/>
        <v>7.0945202415567028</v>
      </c>
      <c r="L18">
        <v>15151.65</v>
      </c>
      <c r="M18">
        <f t="shared" si="2"/>
        <v>7.5042571306939099</v>
      </c>
    </row>
    <row r="19" spans="1:13" x14ac:dyDescent="0.4">
      <c r="A19" t="s">
        <v>6</v>
      </c>
      <c r="B19" t="s">
        <v>19</v>
      </c>
      <c r="C19">
        <v>0.1489</v>
      </c>
      <c r="D19">
        <v>0.64319999999999999</v>
      </c>
      <c r="E19">
        <v>308.14999999999998</v>
      </c>
      <c r="F19">
        <v>20499</v>
      </c>
      <c r="G19" t="s">
        <v>4</v>
      </c>
      <c r="H19">
        <v>0.65988150000000001</v>
      </c>
      <c r="I19">
        <f t="shared" si="3"/>
        <v>2.5935167910447787</v>
      </c>
      <c r="L19">
        <v>21716.42</v>
      </c>
      <c r="M19">
        <f t="shared" si="2"/>
        <v>5.9389238499438912</v>
      </c>
    </row>
    <row r="20" spans="1:13" x14ac:dyDescent="0.4">
      <c r="A20" t="s">
        <v>6</v>
      </c>
      <c r="B20" t="s">
        <v>20</v>
      </c>
      <c r="C20">
        <v>0.21240000000000001</v>
      </c>
      <c r="D20">
        <v>0.69</v>
      </c>
      <c r="E20">
        <v>308.14999999999998</v>
      </c>
      <c r="F20">
        <v>22629</v>
      </c>
      <c r="G20" t="s">
        <v>4</v>
      </c>
      <c r="H20">
        <v>0.70031940000000004</v>
      </c>
      <c r="I20">
        <f t="shared" si="3"/>
        <v>1.4955652173913174</v>
      </c>
      <c r="L20">
        <v>23845.19</v>
      </c>
      <c r="M20">
        <f t="shared" si="2"/>
        <v>5.3744752308983994</v>
      </c>
    </row>
    <row r="21" spans="1:13" x14ac:dyDescent="0.4">
      <c r="A21" t="s">
        <v>6</v>
      </c>
      <c r="B21" t="s">
        <v>19</v>
      </c>
      <c r="C21">
        <v>0.2412</v>
      </c>
      <c r="D21">
        <v>0.70809999999999995</v>
      </c>
      <c r="E21">
        <v>308.14999999999998</v>
      </c>
      <c r="F21">
        <v>23487</v>
      </c>
      <c r="G21" t="s">
        <v>4</v>
      </c>
      <c r="H21">
        <v>0.71229450000000005</v>
      </c>
      <c r="I21">
        <f t="shared" si="3"/>
        <v>0.59235983618134458</v>
      </c>
      <c r="L21">
        <v>24515.27</v>
      </c>
      <c r="M21">
        <f t="shared" si="2"/>
        <v>4.3780389151445496</v>
      </c>
    </row>
    <row r="22" spans="1:13" x14ac:dyDescent="0.4">
      <c r="A22" t="s">
        <v>6</v>
      </c>
      <c r="B22" t="s">
        <v>19</v>
      </c>
      <c r="C22">
        <v>0.2802</v>
      </c>
      <c r="D22">
        <v>0.72270000000000001</v>
      </c>
      <c r="E22">
        <v>308.14999999999998</v>
      </c>
      <c r="F22">
        <v>24361</v>
      </c>
      <c r="G22" t="s">
        <v>4</v>
      </c>
      <c r="H22">
        <v>0.72502440000000001</v>
      </c>
      <c r="I22">
        <f t="shared" si="3"/>
        <v>0.3216272312162729</v>
      </c>
      <c r="L22">
        <v>25233.74</v>
      </c>
      <c r="M22">
        <f t="shared" si="2"/>
        <v>3.5825294528139304</v>
      </c>
    </row>
    <row r="23" spans="1:13" x14ac:dyDescent="0.4">
      <c r="A23" t="s">
        <v>6</v>
      </c>
      <c r="B23" t="s">
        <v>23</v>
      </c>
      <c r="C23">
        <v>0.32369999999999999</v>
      </c>
      <c r="D23">
        <v>0.73899999999999999</v>
      </c>
      <c r="E23">
        <v>308.14999999999998</v>
      </c>
      <c r="F23">
        <v>25122</v>
      </c>
      <c r="G23" t="s">
        <v>4</v>
      </c>
      <c r="H23">
        <v>0.73622690000000002</v>
      </c>
      <c r="I23">
        <f t="shared" si="3"/>
        <v>0.37525033829498955</v>
      </c>
      <c r="L23">
        <v>25858.13</v>
      </c>
      <c r="M23">
        <f t="shared" si="2"/>
        <v>2.930220523843647</v>
      </c>
    </row>
    <row r="24" spans="1:13" x14ac:dyDescent="0.4">
      <c r="A24" t="s">
        <v>6</v>
      </c>
      <c r="B24" t="s">
        <v>19</v>
      </c>
      <c r="C24">
        <v>0.35620000000000002</v>
      </c>
      <c r="D24">
        <v>0.74909999999999999</v>
      </c>
      <c r="E24">
        <v>308.14999999999998</v>
      </c>
      <c r="F24">
        <v>25629</v>
      </c>
      <c r="G24" t="s">
        <v>4</v>
      </c>
      <c r="H24">
        <v>0.74334109999999998</v>
      </c>
      <c r="I24">
        <f t="shared" si="3"/>
        <v>0.76877586437057954</v>
      </c>
      <c r="L24">
        <v>26243.34</v>
      </c>
      <c r="M24">
        <f t="shared" si="2"/>
        <v>2.3970502165515635</v>
      </c>
    </row>
    <row r="25" spans="1:13" x14ac:dyDescent="0.4">
      <c r="A25" t="s">
        <v>6</v>
      </c>
      <c r="B25" t="s">
        <v>19</v>
      </c>
      <c r="C25">
        <v>0.39050000000000001</v>
      </c>
      <c r="D25">
        <v>0.75670000000000004</v>
      </c>
      <c r="E25">
        <v>308.14999999999998</v>
      </c>
      <c r="F25">
        <v>26075</v>
      </c>
      <c r="G25" t="s">
        <v>4</v>
      </c>
      <c r="H25">
        <v>0.75017230000000001</v>
      </c>
      <c r="I25">
        <f t="shared" si="3"/>
        <v>0.86265362759350128</v>
      </c>
      <c r="L25">
        <v>26599.9</v>
      </c>
      <c r="M25">
        <f t="shared" si="2"/>
        <v>2.0130393096836103</v>
      </c>
    </row>
    <row r="26" spans="1:13" x14ac:dyDescent="0.4">
      <c r="A26" t="s">
        <v>6</v>
      </c>
      <c r="B26" t="s">
        <v>19</v>
      </c>
      <c r="C26">
        <v>0.44019999999999998</v>
      </c>
      <c r="D26">
        <v>0.76839999999999997</v>
      </c>
      <c r="E26">
        <v>308.14999999999998</v>
      </c>
      <c r="F26">
        <v>26661</v>
      </c>
      <c r="G26" t="s">
        <v>4</v>
      </c>
      <c r="H26">
        <v>0.75950229999999996</v>
      </c>
      <c r="I26">
        <f t="shared" si="3"/>
        <v>1.1579515877147331</v>
      </c>
      <c r="L26">
        <v>27059.24</v>
      </c>
      <c r="M26">
        <f t="shared" si="2"/>
        <v>1.4937174149506829</v>
      </c>
    </row>
    <row r="27" spans="1:13" x14ac:dyDescent="0.4">
      <c r="A27" t="s">
        <v>6</v>
      </c>
      <c r="B27" t="s">
        <v>19</v>
      </c>
      <c r="C27">
        <v>0.4819</v>
      </c>
      <c r="D27">
        <v>0.77729999999999999</v>
      </c>
      <c r="E27">
        <v>308.14999999999998</v>
      </c>
      <c r="F27">
        <v>27126</v>
      </c>
      <c r="G27" t="s">
        <v>4</v>
      </c>
      <c r="H27">
        <v>0.76730920000000002</v>
      </c>
      <c r="I27">
        <f t="shared" si="3"/>
        <v>1.2853209828894849</v>
      </c>
      <c r="L27">
        <v>27415.02</v>
      </c>
      <c r="M27">
        <f t="shared" si="2"/>
        <v>1.0654722406547241</v>
      </c>
    </row>
    <row r="28" spans="1:13" x14ac:dyDescent="0.4">
      <c r="A28" t="s">
        <v>6</v>
      </c>
      <c r="B28" t="s">
        <v>20</v>
      </c>
      <c r="C28">
        <v>0.51539999999999997</v>
      </c>
      <c r="D28">
        <v>0.78369999999999995</v>
      </c>
      <c r="E28">
        <v>308.14999999999998</v>
      </c>
      <c r="F28">
        <v>27444</v>
      </c>
      <c r="G28" t="s">
        <v>4</v>
      </c>
      <c r="H28">
        <v>0.7738294</v>
      </c>
      <c r="I28">
        <f t="shared" si="3"/>
        <v>1.2594870486155354</v>
      </c>
      <c r="L28">
        <v>27691.17</v>
      </c>
      <c r="M28">
        <f t="shared" si="2"/>
        <v>0.90063401836466361</v>
      </c>
    </row>
    <row r="29" spans="1:13" x14ac:dyDescent="0.4">
      <c r="A29" t="s">
        <v>6</v>
      </c>
      <c r="B29" t="s">
        <v>19</v>
      </c>
      <c r="C29">
        <v>0.57689999999999997</v>
      </c>
      <c r="D29">
        <v>0.79800000000000004</v>
      </c>
      <c r="E29">
        <v>308.14999999999998</v>
      </c>
      <c r="F29">
        <v>28026</v>
      </c>
      <c r="G29" t="s">
        <v>4</v>
      </c>
      <c r="H29">
        <v>0.78693709999999994</v>
      </c>
      <c r="I29">
        <f t="shared" si="3"/>
        <v>1.3863283208020172</v>
      </c>
      <c r="L29">
        <v>28189.93</v>
      </c>
      <c r="M29">
        <f t="shared" si="2"/>
        <v>0.58492114465139622</v>
      </c>
    </row>
    <row r="30" spans="1:13" x14ac:dyDescent="0.4">
      <c r="A30" t="s">
        <v>22</v>
      </c>
      <c r="B30" t="s">
        <v>19</v>
      </c>
      <c r="C30">
        <v>0.62350000000000005</v>
      </c>
      <c r="D30">
        <v>0.80879999999999996</v>
      </c>
      <c r="E30">
        <v>308.14999999999998</v>
      </c>
      <c r="F30">
        <v>28421</v>
      </c>
      <c r="G30" t="s">
        <v>4</v>
      </c>
      <c r="H30">
        <v>0.79831070000000004</v>
      </c>
      <c r="I30">
        <f t="shared" si="3"/>
        <v>1.2968966369930668</v>
      </c>
      <c r="L30">
        <v>28566.62</v>
      </c>
      <c r="M30">
        <f t="shared" si="2"/>
        <v>0.51236761549558063</v>
      </c>
    </row>
    <row r="31" spans="1:13" x14ac:dyDescent="0.4">
      <c r="A31" t="s">
        <v>6</v>
      </c>
      <c r="B31" t="s">
        <v>19</v>
      </c>
      <c r="C31">
        <v>0.67610000000000003</v>
      </c>
      <c r="D31">
        <v>0.8226</v>
      </c>
      <c r="E31">
        <v>308.14999999999998</v>
      </c>
      <c r="F31">
        <v>28884</v>
      </c>
      <c r="G31" t="s">
        <v>4</v>
      </c>
      <c r="H31">
        <v>0.81318020000000002</v>
      </c>
      <c r="I31">
        <f t="shared" si="3"/>
        <v>1.1451252127400897</v>
      </c>
      <c r="L31">
        <v>28990.69</v>
      </c>
      <c r="M31">
        <f t="shared" si="2"/>
        <v>0.36937404791579659</v>
      </c>
    </row>
    <row r="32" spans="1:13" x14ac:dyDescent="0.4">
      <c r="A32" t="s">
        <v>6</v>
      </c>
      <c r="B32" t="s">
        <v>19</v>
      </c>
      <c r="C32">
        <v>0.73880000000000001</v>
      </c>
      <c r="D32">
        <v>0.84250000000000003</v>
      </c>
      <c r="E32">
        <v>308.14999999999998</v>
      </c>
      <c r="F32">
        <v>29415</v>
      </c>
      <c r="G32" t="s">
        <v>4</v>
      </c>
      <c r="H32">
        <v>0.83453679999999997</v>
      </c>
      <c r="I32">
        <f t="shared" si="3"/>
        <v>0.94518694362018507</v>
      </c>
      <c r="L32">
        <v>29486</v>
      </c>
      <c r="M32">
        <f t="shared" si="2"/>
        <v>0.24137344892061871</v>
      </c>
    </row>
    <row r="33" spans="1:13" x14ac:dyDescent="0.4">
      <c r="A33" t="s">
        <v>6</v>
      </c>
      <c r="B33" t="s">
        <v>19</v>
      </c>
      <c r="C33">
        <v>0.79169999999999996</v>
      </c>
      <c r="D33">
        <v>0.86219999999999997</v>
      </c>
      <c r="E33">
        <v>308.14999999999998</v>
      </c>
      <c r="F33">
        <v>29836</v>
      </c>
      <c r="G33" t="s">
        <v>4</v>
      </c>
      <c r="H33">
        <v>0.85646599999999995</v>
      </c>
      <c r="I33">
        <f t="shared" si="3"/>
        <v>0.6650429134771535</v>
      </c>
      <c r="L33">
        <v>29880.92</v>
      </c>
      <c r="M33">
        <f t="shared" si="2"/>
        <v>0.15055637484916964</v>
      </c>
    </row>
    <row r="34" spans="1:13" x14ac:dyDescent="0.4">
      <c r="A34" t="s">
        <v>6</v>
      </c>
      <c r="B34" t="s">
        <v>19</v>
      </c>
      <c r="C34">
        <v>0.82079999999999997</v>
      </c>
      <c r="D34">
        <v>0.87280000000000002</v>
      </c>
      <c r="E34">
        <v>308.14999999999998</v>
      </c>
      <c r="F34">
        <v>30126</v>
      </c>
      <c r="G34" t="s">
        <v>4</v>
      </c>
      <c r="H34">
        <v>0.87039469999999997</v>
      </c>
      <c r="I34">
        <f t="shared" si="3"/>
        <v>0.27558432630614743</v>
      </c>
      <c r="L34">
        <v>30082.3</v>
      </c>
      <c r="M34">
        <f t="shared" si="2"/>
        <v>0.14505742547965456</v>
      </c>
    </row>
    <row r="35" spans="1:13" x14ac:dyDescent="0.4">
      <c r="A35" t="s">
        <v>6</v>
      </c>
      <c r="B35" t="s">
        <v>19</v>
      </c>
      <c r="C35">
        <v>0.85529999999999995</v>
      </c>
      <c r="D35">
        <v>0.88980000000000004</v>
      </c>
      <c r="E35">
        <v>308.14999999999998</v>
      </c>
      <c r="F35">
        <v>30342</v>
      </c>
      <c r="G35" t="s">
        <v>4</v>
      </c>
      <c r="H35">
        <v>0.88893120000000003</v>
      </c>
      <c r="I35">
        <f t="shared" si="3"/>
        <v>9.7639919082940313E-2</v>
      </c>
      <c r="L35">
        <v>30299.82</v>
      </c>
      <c r="M35">
        <f t="shared" si="2"/>
        <v>0.13901522641882635</v>
      </c>
    </row>
    <row r="36" spans="1:13" x14ac:dyDescent="0.4">
      <c r="A36" t="s">
        <v>6</v>
      </c>
      <c r="B36" t="s">
        <v>19</v>
      </c>
      <c r="C36">
        <v>0.87980000000000003</v>
      </c>
      <c r="D36">
        <v>0.90439999999999998</v>
      </c>
      <c r="E36">
        <v>308.14999999999998</v>
      </c>
      <c r="F36">
        <v>30495</v>
      </c>
      <c r="G36" t="s">
        <v>4</v>
      </c>
      <c r="H36">
        <v>0.90361080000000005</v>
      </c>
      <c r="I36">
        <f t="shared" si="3"/>
        <v>8.7262273330377532E-2</v>
      </c>
      <c r="L36">
        <v>30436.35</v>
      </c>
      <c r="M36">
        <f t="shared" si="2"/>
        <v>0.1923266109198277</v>
      </c>
    </row>
    <row r="37" spans="1:13" x14ac:dyDescent="0.4">
      <c r="A37" t="s">
        <v>6</v>
      </c>
      <c r="B37" t="s">
        <v>19</v>
      </c>
      <c r="C37">
        <v>0.91549999999999998</v>
      </c>
      <c r="D37">
        <v>0.92710000000000004</v>
      </c>
      <c r="E37">
        <v>308.14999999999998</v>
      </c>
      <c r="F37">
        <v>30620</v>
      </c>
      <c r="G37" t="s">
        <v>4</v>
      </c>
      <c r="H37">
        <v>0.9276025</v>
      </c>
      <c r="I37">
        <f t="shared" si="3"/>
        <v>5.4201272786103039E-2</v>
      </c>
      <c r="L37">
        <v>30601.279999999999</v>
      </c>
      <c r="M37">
        <f t="shared" si="2"/>
        <v>6.113651208360929E-2</v>
      </c>
    </row>
    <row r="38" spans="1:13" x14ac:dyDescent="0.4">
      <c r="A38" t="s">
        <v>6</v>
      </c>
      <c r="B38" t="s">
        <v>19</v>
      </c>
      <c r="C38">
        <v>0.93289999999999995</v>
      </c>
      <c r="D38">
        <v>0.93969999999999998</v>
      </c>
      <c r="E38">
        <v>308.14999999999998</v>
      </c>
      <c r="F38">
        <v>30666</v>
      </c>
      <c r="G38" t="s">
        <v>4</v>
      </c>
      <c r="H38">
        <v>0.94055849999999996</v>
      </c>
      <c r="I38">
        <f t="shared" si="3"/>
        <v>9.135894434393789E-2</v>
      </c>
      <c r="L38">
        <v>30664.080000000002</v>
      </c>
      <c r="M38">
        <f t="shared" si="2"/>
        <v>6.2610056740306976E-3</v>
      </c>
    </row>
    <row r="39" spans="1:13" x14ac:dyDescent="0.4">
      <c r="A39" t="s">
        <v>6</v>
      </c>
      <c r="B39" t="s">
        <v>19</v>
      </c>
      <c r="C39">
        <v>1</v>
      </c>
      <c r="D39">
        <v>1</v>
      </c>
      <c r="E39">
        <v>308.14999999999998</v>
      </c>
      <c r="F39">
        <v>30636</v>
      </c>
      <c r="G39" t="s">
        <v>4</v>
      </c>
      <c r="H39">
        <v>1</v>
      </c>
      <c r="I39">
        <f t="shared" ref="I39:I102" si="4">100*ABS((H39-D39)/D39)</f>
        <v>0</v>
      </c>
      <c r="L39">
        <v>30765.119999999999</v>
      </c>
      <c r="M39">
        <f t="shared" si="2"/>
        <v>0.42146494320407035</v>
      </c>
    </row>
    <row r="40" spans="1:13" x14ac:dyDescent="0.4">
      <c r="A40" t="s">
        <v>24</v>
      </c>
      <c r="B40" t="s">
        <v>25</v>
      </c>
      <c r="C40">
        <v>1.6E-2</v>
      </c>
      <c r="D40">
        <v>1.2999999999999999E-2</v>
      </c>
      <c r="E40">
        <v>334.85</v>
      </c>
      <c r="F40">
        <v>101300</v>
      </c>
      <c r="G40" t="s">
        <v>26</v>
      </c>
      <c r="H40">
        <v>8.3871899999999992E-3</v>
      </c>
      <c r="I40">
        <f t="shared" si="4"/>
        <v>35.483153846153847</v>
      </c>
      <c r="J40">
        <v>334.46294</v>
      </c>
      <c r="K40">
        <f t="shared" ref="K40:K79" si="5">100*ABS((J40-E40)/E40)</f>
        <v>0.11559205614454814</v>
      </c>
    </row>
    <row r="41" spans="1:13" x14ac:dyDescent="0.4">
      <c r="A41" t="s">
        <v>24</v>
      </c>
      <c r="B41" t="s">
        <v>25</v>
      </c>
      <c r="C41">
        <v>0.06</v>
      </c>
      <c r="D41">
        <v>3.1E-2</v>
      </c>
      <c r="E41">
        <v>335.25</v>
      </c>
      <c r="F41">
        <v>101300</v>
      </c>
      <c r="G41" t="s">
        <v>26</v>
      </c>
      <c r="H41">
        <v>2.7909099999999999E-2</v>
      </c>
      <c r="I41">
        <f t="shared" si="4"/>
        <v>9.9706451612903244</v>
      </c>
      <c r="J41">
        <v>335.08170000000001</v>
      </c>
      <c r="K41">
        <f t="shared" si="5"/>
        <v>5.0201342281875588E-2</v>
      </c>
    </row>
    <row r="42" spans="1:13" x14ac:dyDescent="0.4">
      <c r="A42" t="s">
        <v>24</v>
      </c>
      <c r="B42" t="s">
        <v>25</v>
      </c>
      <c r="C42">
        <v>0.14000000000000001</v>
      </c>
      <c r="D42">
        <v>6.0999999999999999E-2</v>
      </c>
      <c r="E42">
        <v>336.05</v>
      </c>
      <c r="F42">
        <v>101300</v>
      </c>
      <c r="G42" t="s">
        <v>26</v>
      </c>
      <c r="H42">
        <v>5.5472399999999998E-2</v>
      </c>
      <c r="I42">
        <f t="shared" si="4"/>
        <v>9.0616393442622964</v>
      </c>
      <c r="J42">
        <v>336.22723000000002</v>
      </c>
      <c r="K42">
        <f t="shared" si="5"/>
        <v>5.2739175717901696E-2</v>
      </c>
    </row>
    <row r="43" spans="1:13" x14ac:dyDescent="0.4">
      <c r="A43" t="s">
        <v>24</v>
      </c>
      <c r="B43" t="s">
        <v>25</v>
      </c>
      <c r="C43">
        <v>0.247</v>
      </c>
      <c r="D43">
        <v>8.7999999999999995E-2</v>
      </c>
      <c r="E43">
        <v>337.35</v>
      </c>
      <c r="F43">
        <v>101300</v>
      </c>
      <c r="G43" t="s">
        <v>26</v>
      </c>
      <c r="H43">
        <v>8.64983E-2</v>
      </c>
      <c r="I43">
        <f t="shared" si="4"/>
        <v>1.7064772727272668</v>
      </c>
      <c r="J43">
        <v>337.87333000000001</v>
      </c>
      <c r="K43">
        <f t="shared" si="5"/>
        <v>0.15512968726841178</v>
      </c>
    </row>
    <row r="44" spans="1:13" x14ac:dyDescent="0.4">
      <c r="A44" t="s">
        <v>24</v>
      </c>
      <c r="B44" t="s">
        <v>28</v>
      </c>
      <c r="C44">
        <v>0.33600000000000002</v>
      </c>
      <c r="D44">
        <v>0.106</v>
      </c>
      <c r="E44">
        <v>338.45</v>
      </c>
      <c r="F44">
        <v>101300</v>
      </c>
      <c r="G44" t="s">
        <v>26</v>
      </c>
      <c r="H44">
        <v>0.1132374</v>
      </c>
      <c r="I44">
        <f t="shared" si="4"/>
        <v>6.8277358490566087</v>
      </c>
      <c r="J44">
        <v>339.47415999999998</v>
      </c>
      <c r="K44">
        <f t="shared" si="5"/>
        <v>0.30260304328556503</v>
      </c>
    </row>
    <row r="45" spans="1:13" x14ac:dyDescent="0.4">
      <c r="A45" t="s">
        <v>24</v>
      </c>
      <c r="B45" t="s">
        <v>25</v>
      </c>
      <c r="C45">
        <v>0.439</v>
      </c>
      <c r="D45">
        <v>0.13200000000000001</v>
      </c>
      <c r="E45">
        <v>340.35</v>
      </c>
      <c r="F45">
        <v>101300</v>
      </c>
      <c r="G45" t="s">
        <v>26</v>
      </c>
      <c r="H45">
        <v>0.1506132</v>
      </c>
      <c r="I45">
        <f t="shared" si="4"/>
        <v>14.100909090909086</v>
      </c>
      <c r="J45">
        <v>341.76342</v>
      </c>
      <c r="K45">
        <f t="shared" si="5"/>
        <v>0.41528426619655462</v>
      </c>
    </row>
    <row r="46" spans="1:13" x14ac:dyDescent="0.4">
      <c r="A46" t="s">
        <v>24</v>
      </c>
      <c r="B46" t="s">
        <v>25</v>
      </c>
      <c r="C46">
        <v>0.504</v>
      </c>
      <c r="D46">
        <v>0.16</v>
      </c>
      <c r="E46">
        <v>342.05</v>
      </c>
      <c r="F46">
        <v>101300</v>
      </c>
      <c r="G46" t="s">
        <v>26</v>
      </c>
      <c r="H46">
        <v>0.1804114</v>
      </c>
      <c r="I46">
        <f t="shared" si="4"/>
        <v>12.757124999999997</v>
      </c>
      <c r="J46">
        <v>343.52848999999998</v>
      </c>
      <c r="K46">
        <f t="shared" si="5"/>
        <v>0.43224382400232864</v>
      </c>
    </row>
    <row r="47" spans="1:13" x14ac:dyDescent="0.4">
      <c r="A47" t="s">
        <v>24</v>
      </c>
      <c r="B47" t="s">
        <v>25</v>
      </c>
      <c r="C47">
        <v>0.59699999999999998</v>
      </c>
      <c r="D47">
        <v>0.20799999999999999</v>
      </c>
      <c r="E47">
        <v>344.35</v>
      </c>
      <c r="F47">
        <v>101300</v>
      </c>
      <c r="G47" t="s">
        <v>26</v>
      </c>
      <c r="H47">
        <v>0.23615269999999999</v>
      </c>
      <c r="I47">
        <f t="shared" si="4"/>
        <v>13.534951923076925</v>
      </c>
      <c r="J47">
        <v>346.58971000000003</v>
      </c>
      <c r="K47">
        <f t="shared" si="5"/>
        <v>0.65041672716712717</v>
      </c>
    </row>
    <row r="48" spans="1:13" x14ac:dyDescent="0.4">
      <c r="A48" t="s">
        <v>24</v>
      </c>
      <c r="B48" t="s">
        <v>25</v>
      </c>
      <c r="C48">
        <v>0.67300000000000004</v>
      </c>
      <c r="D48">
        <v>0.26400000000000001</v>
      </c>
      <c r="E48">
        <v>347.55</v>
      </c>
      <c r="F48">
        <v>101300</v>
      </c>
      <c r="G48" t="s">
        <v>26</v>
      </c>
      <c r="H48">
        <v>0.29850280000000001</v>
      </c>
      <c r="I48">
        <f t="shared" si="4"/>
        <v>13.069242424242425</v>
      </c>
      <c r="J48">
        <v>349.64204000000001</v>
      </c>
      <c r="K48">
        <f t="shared" si="5"/>
        <v>0.60193928931088969</v>
      </c>
    </row>
    <row r="49" spans="1:11" x14ac:dyDescent="0.4">
      <c r="A49" t="s">
        <v>24</v>
      </c>
      <c r="B49" t="s">
        <v>25</v>
      </c>
      <c r="C49">
        <v>0.747</v>
      </c>
      <c r="D49">
        <v>0.34399999999999997</v>
      </c>
      <c r="E49">
        <v>351.35</v>
      </c>
      <c r="F49">
        <v>101300</v>
      </c>
      <c r="G49" t="s">
        <v>26</v>
      </c>
      <c r="H49">
        <v>0.38074849999999999</v>
      </c>
      <c r="I49">
        <f t="shared" si="4"/>
        <v>10.682703488372098</v>
      </c>
      <c r="J49">
        <v>353.16653000000002</v>
      </c>
      <c r="K49">
        <f t="shared" si="5"/>
        <v>0.51701437313220444</v>
      </c>
    </row>
    <row r="50" spans="1:11" x14ac:dyDescent="0.4">
      <c r="A50" t="s">
        <v>24</v>
      </c>
      <c r="B50" t="s">
        <v>25</v>
      </c>
      <c r="C50">
        <v>0.80600000000000005</v>
      </c>
      <c r="D50">
        <v>0.435</v>
      </c>
      <c r="E50">
        <v>355.05</v>
      </c>
      <c r="F50">
        <v>101300</v>
      </c>
      <c r="G50" t="s">
        <v>26</v>
      </c>
      <c r="H50">
        <v>0.46787099999999998</v>
      </c>
      <c r="I50">
        <f t="shared" si="4"/>
        <v>7.5565517241379272</v>
      </c>
      <c r="J50">
        <v>356.41602</v>
      </c>
      <c r="K50">
        <f t="shared" si="5"/>
        <v>0.38474017743979488</v>
      </c>
    </row>
    <row r="51" spans="1:11" x14ac:dyDescent="0.4">
      <c r="A51" t="s">
        <v>24</v>
      </c>
      <c r="B51" t="s">
        <v>25</v>
      </c>
      <c r="C51">
        <v>0.84299999999999997</v>
      </c>
      <c r="D51">
        <v>0.501</v>
      </c>
      <c r="E51">
        <v>357.45</v>
      </c>
      <c r="F51">
        <v>101300</v>
      </c>
      <c r="G51" t="s">
        <v>26</v>
      </c>
      <c r="H51">
        <v>0.53549979999999997</v>
      </c>
      <c r="I51">
        <f t="shared" si="4"/>
        <v>6.8861876247504936</v>
      </c>
      <c r="J51">
        <v>358.67131999999998</v>
      </c>
      <c r="K51">
        <f t="shared" si="5"/>
        <v>0.34167575884738888</v>
      </c>
    </row>
    <row r="52" spans="1:11" x14ac:dyDescent="0.4">
      <c r="A52" t="s">
        <v>24</v>
      </c>
      <c r="B52" t="s">
        <v>25</v>
      </c>
      <c r="C52">
        <v>0.90700000000000003</v>
      </c>
      <c r="D52">
        <v>0.65400000000000003</v>
      </c>
      <c r="E52">
        <v>362.25</v>
      </c>
      <c r="F52">
        <v>101300</v>
      </c>
      <c r="G52" t="s">
        <v>26</v>
      </c>
      <c r="H52">
        <v>0.68378369999999999</v>
      </c>
      <c r="I52">
        <f t="shared" si="4"/>
        <v>4.5540825688073339</v>
      </c>
      <c r="J52">
        <v>363.00013000000001</v>
      </c>
      <c r="K52">
        <f t="shared" si="5"/>
        <v>0.20707522429261913</v>
      </c>
    </row>
    <row r="53" spans="1:11" x14ac:dyDescent="0.4">
      <c r="A53" t="s">
        <v>24</v>
      </c>
      <c r="B53" t="s">
        <v>25</v>
      </c>
      <c r="C53">
        <v>0.95199999999999996</v>
      </c>
      <c r="D53">
        <v>0.79600000000000004</v>
      </c>
      <c r="E53">
        <v>365.65</v>
      </c>
      <c r="F53">
        <v>101300</v>
      </c>
      <c r="G53" t="s">
        <v>26</v>
      </c>
      <c r="H53">
        <v>0.81885399999999997</v>
      </c>
      <c r="I53">
        <f t="shared" si="4"/>
        <v>2.8711055276381821</v>
      </c>
      <c r="J53">
        <v>366.38972000000001</v>
      </c>
      <c r="K53">
        <f t="shared" si="5"/>
        <v>0.20230274853002433</v>
      </c>
    </row>
    <row r="54" spans="1:11" x14ac:dyDescent="0.4">
      <c r="A54" t="s">
        <v>7</v>
      </c>
      <c r="B54" t="s">
        <v>27</v>
      </c>
      <c r="C54">
        <v>0</v>
      </c>
      <c r="D54">
        <v>0</v>
      </c>
      <c r="E54">
        <v>372.35</v>
      </c>
      <c r="F54">
        <v>101330</v>
      </c>
      <c r="G54" t="s">
        <v>26</v>
      </c>
      <c r="H54">
        <v>0</v>
      </c>
      <c r="I54">
        <v>0</v>
      </c>
      <c r="J54">
        <v>372.92773</v>
      </c>
      <c r="K54">
        <f t="shared" si="5"/>
        <v>0.15515778165703614</v>
      </c>
    </row>
    <row r="55" spans="1:11" x14ac:dyDescent="0.4">
      <c r="A55" t="s">
        <v>7</v>
      </c>
      <c r="B55" t="s">
        <v>27</v>
      </c>
      <c r="C55">
        <v>7.2599999999999998E-2</v>
      </c>
      <c r="D55">
        <v>0.215</v>
      </c>
      <c r="E55">
        <v>368.15</v>
      </c>
      <c r="F55">
        <v>101330</v>
      </c>
      <c r="G55" t="s">
        <v>26</v>
      </c>
      <c r="H55">
        <v>0.2347013</v>
      </c>
      <c r="I55">
        <f t="shared" si="4"/>
        <v>9.1633953488372111</v>
      </c>
      <c r="J55">
        <v>367.79165</v>
      </c>
      <c r="K55">
        <f t="shared" si="5"/>
        <v>9.7338041559139776E-2</v>
      </c>
    </row>
    <row r="56" spans="1:11" x14ac:dyDescent="0.4">
      <c r="A56" t="s">
        <v>7</v>
      </c>
      <c r="B56" t="s">
        <v>27</v>
      </c>
      <c r="C56">
        <v>0.1047</v>
      </c>
      <c r="D56">
        <v>0.29170000000000001</v>
      </c>
      <c r="E56">
        <v>366.35</v>
      </c>
      <c r="F56">
        <v>101330</v>
      </c>
      <c r="G56" t="s">
        <v>26</v>
      </c>
      <c r="H56">
        <v>0.31589230000000001</v>
      </c>
      <c r="I56">
        <f t="shared" si="4"/>
        <v>8.2935550222831669</v>
      </c>
      <c r="J56">
        <v>365.78368</v>
      </c>
      <c r="K56">
        <f t="shared" si="5"/>
        <v>0.15458441381193361</v>
      </c>
    </row>
    <row r="57" spans="1:11" x14ac:dyDescent="0.4">
      <c r="A57" t="s">
        <v>7</v>
      </c>
      <c r="B57" t="s">
        <v>27</v>
      </c>
      <c r="C57">
        <v>0.13930000000000001</v>
      </c>
      <c r="D57">
        <v>0.36409999999999998</v>
      </c>
      <c r="E57">
        <v>364.55</v>
      </c>
      <c r="F57">
        <v>101330</v>
      </c>
      <c r="G57" t="s">
        <v>26</v>
      </c>
      <c r="H57">
        <v>0.39170260000000001</v>
      </c>
      <c r="I57">
        <f t="shared" si="4"/>
        <v>7.5810491623180543</v>
      </c>
      <c r="J57">
        <v>363.77215000000001</v>
      </c>
      <c r="K57">
        <f t="shared" si="5"/>
        <v>0.21337265121382548</v>
      </c>
    </row>
    <row r="58" spans="1:11" x14ac:dyDescent="0.4">
      <c r="A58" t="s">
        <v>7</v>
      </c>
      <c r="B58" t="s">
        <v>27</v>
      </c>
      <c r="C58">
        <v>0.1671</v>
      </c>
      <c r="D58">
        <v>0.4153</v>
      </c>
      <c r="E58">
        <v>363.25</v>
      </c>
      <c r="F58">
        <v>101330</v>
      </c>
      <c r="G58" t="s">
        <v>26</v>
      </c>
      <c r="H58">
        <v>0.44524520000000001</v>
      </c>
      <c r="I58">
        <f t="shared" si="4"/>
        <v>7.2104984348663619</v>
      </c>
      <c r="J58">
        <v>362.25927000000001</v>
      </c>
      <c r="K58">
        <f t="shared" si="5"/>
        <v>0.27274053682036753</v>
      </c>
    </row>
    <row r="59" spans="1:11" x14ac:dyDescent="0.4">
      <c r="A59" t="s">
        <v>7</v>
      </c>
      <c r="B59" t="s">
        <v>27</v>
      </c>
      <c r="C59">
        <v>0.2092</v>
      </c>
      <c r="D59">
        <v>0.48649999999999999</v>
      </c>
      <c r="E59">
        <v>361.3</v>
      </c>
      <c r="F59">
        <v>101330</v>
      </c>
      <c r="G59" t="s">
        <v>26</v>
      </c>
      <c r="H59">
        <v>0.51596140000000001</v>
      </c>
      <c r="I59">
        <f t="shared" si="4"/>
        <v>6.0557862281603345</v>
      </c>
      <c r="J59">
        <v>360.12484000000001</v>
      </c>
      <c r="K59">
        <f t="shared" si="5"/>
        <v>0.32525878771104494</v>
      </c>
    </row>
    <row r="60" spans="1:11" x14ac:dyDescent="0.4">
      <c r="A60" t="s">
        <v>7</v>
      </c>
      <c r="B60" t="s">
        <v>27</v>
      </c>
      <c r="C60">
        <v>0.25879999999999997</v>
      </c>
      <c r="D60">
        <v>0.55779999999999996</v>
      </c>
      <c r="E60">
        <v>359.3</v>
      </c>
      <c r="F60">
        <v>101330</v>
      </c>
      <c r="G60" t="s">
        <v>26</v>
      </c>
      <c r="H60">
        <v>0.586198</v>
      </c>
      <c r="I60">
        <f t="shared" si="4"/>
        <v>5.0910720688418856</v>
      </c>
      <c r="J60">
        <v>357.82432999999997</v>
      </c>
      <c r="K60">
        <f t="shared" si="5"/>
        <v>0.41070693014195281</v>
      </c>
    </row>
    <row r="61" spans="1:11" x14ac:dyDescent="0.4">
      <c r="A61" t="s">
        <v>7</v>
      </c>
      <c r="B61" t="s">
        <v>27</v>
      </c>
      <c r="C61">
        <v>0.29189999999999999</v>
      </c>
      <c r="D61">
        <v>0.60050000000000003</v>
      </c>
      <c r="E61">
        <v>357.8</v>
      </c>
      <c r="F61">
        <v>101330</v>
      </c>
      <c r="G61" t="s">
        <v>26</v>
      </c>
      <c r="H61">
        <v>0.62666529999999998</v>
      </c>
      <c r="I61">
        <f t="shared" si="4"/>
        <v>4.3572522897585255</v>
      </c>
      <c r="J61">
        <v>356.40289000000001</v>
      </c>
      <c r="K61">
        <f t="shared" si="5"/>
        <v>0.39047233091112293</v>
      </c>
    </row>
    <row r="62" spans="1:11" x14ac:dyDescent="0.4">
      <c r="A62" t="s">
        <v>7</v>
      </c>
      <c r="B62" t="s">
        <v>27</v>
      </c>
      <c r="C62">
        <v>0.36630000000000001</v>
      </c>
      <c r="D62">
        <v>0.68230000000000002</v>
      </c>
      <c r="E62">
        <v>354.95</v>
      </c>
      <c r="F62">
        <v>101330</v>
      </c>
      <c r="G62" t="s">
        <v>26</v>
      </c>
      <c r="H62">
        <v>0.70295680000000005</v>
      </c>
      <c r="I62">
        <f t="shared" si="4"/>
        <v>3.0275245493184859</v>
      </c>
      <c r="J62">
        <v>353.49432999999999</v>
      </c>
      <c r="K62">
        <f t="shared" si="5"/>
        <v>0.41010564868291244</v>
      </c>
    </row>
    <row r="63" spans="1:11" x14ac:dyDescent="0.4">
      <c r="A63" t="s">
        <v>7</v>
      </c>
      <c r="B63" t="s">
        <v>27</v>
      </c>
      <c r="C63">
        <v>0.40920000000000001</v>
      </c>
      <c r="D63">
        <v>0.72189999999999999</v>
      </c>
      <c r="E63">
        <v>353.6</v>
      </c>
      <c r="F63">
        <v>101330</v>
      </c>
      <c r="G63" t="s">
        <v>26</v>
      </c>
      <c r="H63">
        <v>0.73956639999999996</v>
      </c>
      <c r="I63">
        <f t="shared" si="4"/>
        <v>2.4472087546751586</v>
      </c>
      <c r="J63">
        <v>351.97421000000003</v>
      </c>
      <c r="K63">
        <f t="shared" si="5"/>
        <v>0.45978223981900312</v>
      </c>
    </row>
    <row r="64" spans="1:11" x14ac:dyDescent="0.4">
      <c r="A64" t="s">
        <v>29</v>
      </c>
      <c r="B64" t="s">
        <v>27</v>
      </c>
      <c r="C64">
        <v>0.46629999999999999</v>
      </c>
      <c r="D64">
        <v>0.76870000000000005</v>
      </c>
      <c r="E64">
        <v>351.7</v>
      </c>
      <c r="F64">
        <v>101330</v>
      </c>
      <c r="G64" t="s">
        <v>26</v>
      </c>
      <c r="H64">
        <v>0.78177359999999996</v>
      </c>
      <c r="I64">
        <f t="shared" si="4"/>
        <v>1.7007415116430213</v>
      </c>
      <c r="J64">
        <v>350.10329999999999</v>
      </c>
      <c r="K64">
        <f t="shared" si="5"/>
        <v>0.45399488200170551</v>
      </c>
    </row>
    <row r="65" spans="1:11" x14ac:dyDescent="0.4">
      <c r="A65" t="s">
        <v>7</v>
      </c>
      <c r="B65" t="s">
        <v>27</v>
      </c>
      <c r="C65">
        <v>0.48670000000000002</v>
      </c>
      <c r="D65">
        <v>0.78449999999999998</v>
      </c>
      <c r="E65">
        <v>350.9</v>
      </c>
      <c r="F65">
        <v>101330</v>
      </c>
      <c r="G65" t="s">
        <v>26</v>
      </c>
      <c r="H65">
        <v>0.79532440000000004</v>
      </c>
      <c r="I65">
        <f t="shared" si="4"/>
        <v>1.3797833014659104</v>
      </c>
      <c r="J65">
        <v>349.47284000000002</v>
      </c>
      <c r="K65">
        <f t="shared" si="5"/>
        <v>0.40671416357935541</v>
      </c>
    </row>
    <row r="66" spans="1:11" x14ac:dyDescent="0.4">
      <c r="A66" t="s">
        <v>7</v>
      </c>
      <c r="B66" t="s">
        <v>27</v>
      </c>
      <c r="C66">
        <v>0.53520000000000001</v>
      </c>
      <c r="D66">
        <v>0.81740000000000002</v>
      </c>
      <c r="E66">
        <v>349.25</v>
      </c>
      <c r="F66">
        <v>101330</v>
      </c>
      <c r="G66" t="s">
        <v>26</v>
      </c>
      <c r="H66">
        <v>0.82481110000000002</v>
      </c>
      <c r="I66">
        <f t="shared" si="4"/>
        <v>0.9066674822608275</v>
      </c>
      <c r="J66">
        <v>348.04588000000001</v>
      </c>
      <c r="K66">
        <f t="shared" si="5"/>
        <v>0.34477308518253086</v>
      </c>
    </row>
    <row r="67" spans="1:11" x14ac:dyDescent="0.4">
      <c r="A67" t="s">
        <v>7</v>
      </c>
      <c r="B67" t="s">
        <v>27</v>
      </c>
      <c r="C67">
        <v>0.59840000000000004</v>
      </c>
      <c r="D67">
        <v>0.8538</v>
      </c>
      <c r="E67">
        <v>347.45</v>
      </c>
      <c r="F67">
        <v>101330</v>
      </c>
      <c r="G67" t="s">
        <v>26</v>
      </c>
      <c r="H67">
        <v>0.85836619999999997</v>
      </c>
      <c r="I67">
        <f t="shared" si="4"/>
        <v>0.53480908877956956</v>
      </c>
      <c r="J67">
        <v>346.32218999999998</v>
      </c>
      <c r="K67">
        <f t="shared" si="5"/>
        <v>0.32459634479781579</v>
      </c>
    </row>
    <row r="68" spans="1:11" x14ac:dyDescent="0.4">
      <c r="A68" t="s">
        <v>7</v>
      </c>
      <c r="B68" t="s">
        <v>27</v>
      </c>
      <c r="C68">
        <v>0.64910000000000001</v>
      </c>
      <c r="D68">
        <v>0.88060000000000005</v>
      </c>
      <c r="E68">
        <v>346.05</v>
      </c>
      <c r="F68">
        <v>101330</v>
      </c>
      <c r="G68" t="s">
        <v>26</v>
      </c>
      <c r="H68">
        <v>0.88204570000000004</v>
      </c>
      <c r="I68">
        <f t="shared" si="4"/>
        <v>0.16417215534862528</v>
      </c>
      <c r="J68">
        <v>345.03588000000002</v>
      </c>
      <c r="K68">
        <f t="shared" si="5"/>
        <v>0.29305591677503001</v>
      </c>
    </row>
    <row r="69" spans="1:11" x14ac:dyDescent="0.4">
      <c r="A69" t="s">
        <v>7</v>
      </c>
      <c r="B69" t="s">
        <v>27</v>
      </c>
      <c r="C69">
        <v>0.70760000000000001</v>
      </c>
      <c r="D69">
        <v>0.90690000000000004</v>
      </c>
      <c r="E69">
        <v>344.55</v>
      </c>
      <c r="F69">
        <v>101330</v>
      </c>
      <c r="G69" t="s">
        <v>26</v>
      </c>
      <c r="H69">
        <v>0.90648390000000001</v>
      </c>
      <c r="I69">
        <f t="shared" si="4"/>
        <v>4.588157459477675E-2</v>
      </c>
      <c r="J69">
        <v>343.64319999999998</v>
      </c>
      <c r="K69">
        <f t="shared" si="5"/>
        <v>0.26318386300973223</v>
      </c>
    </row>
    <row r="70" spans="1:11" x14ac:dyDescent="0.4">
      <c r="A70" t="s">
        <v>7</v>
      </c>
      <c r="B70" t="s">
        <v>27</v>
      </c>
      <c r="C70">
        <v>0.75880000000000003</v>
      </c>
      <c r="D70">
        <v>0.92730000000000001</v>
      </c>
      <c r="E70">
        <v>343</v>
      </c>
      <c r="F70">
        <v>101330</v>
      </c>
      <c r="G70" t="s">
        <v>26</v>
      </c>
      <c r="H70">
        <v>0.92579900000000004</v>
      </c>
      <c r="I70">
        <f t="shared" si="4"/>
        <v>0.16186778820230502</v>
      </c>
      <c r="J70">
        <v>342.49365999999998</v>
      </c>
      <c r="K70">
        <f t="shared" si="5"/>
        <v>0.147620991253651</v>
      </c>
    </row>
    <row r="71" spans="1:11" x14ac:dyDescent="0.4">
      <c r="A71" t="s">
        <v>7</v>
      </c>
      <c r="B71" t="s">
        <v>27</v>
      </c>
      <c r="C71">
        <v>0.83589999999999998</v>
      </c>
      <c r="D71">
        <v>0.95479999999999998</v>
      </c>
      <c r="E71">
        <v>341.1</v>
      </c>
      <c r="F71">
        <v>101330</v>
      </c>
      <c r="G71" t="s">
        <v>26</v>
      </c>
      <c r="H71">
        <v>0.9520052</v>
      </c>
      <c r="I71">
        <f t="shared" si="4"/>
        <v>0.29271051529115905</v>
      </c>
      <c r="J71">
        <v>340.86408999999998</v>
      </c>
      <c r="K71">
        <f t="shared" si="5"/>
        <v>6.9161536206404778E-2</v>
      </c>
    </row>
    <row r="72" spans="1:11" x14ac:dyDescent="0.4">
      <c r="A72" t="s">
        <v>7</v>
      </c>
      <c r="B72" t="s">
        <v>27</v>
      </c>
      <c r="C72">
        <v>0.87649999999999995</v>
      </c>
      <c r="D72">
        <v>0.96689999999999998</v>
      </c>
      <c r="E72">
        <v>340.35</v>
      </c>
      <c r="F72">
        <v>101330</v>
      </c>
      <c r="G72" t="s">
        <v>26</v>
      </c>
      <c r="H72">
        <v>0.96469590000000005</v>
      </c>
      <c r="I72">
        <f t="shared" si="4"/>
        <v>0.22795532112937544</v>
      </c>
      <c r="J72">
        <v>340.04665999999997</v>
      </c>
      <c r="K72">
        <f t="shared" si="5"/>
        <v>8.912589980903432E-2</v>
      </c>
    </row>
    <row r="73" spans="1:11" x14ac:dyDescent="0.4">
      <c r="A73" t="s">
        <v>7</v>
      </c>
      <c r="B73" t="s">
        <v>27</v>
      </c>
      <c r="C73">
        <v>0.9667</v>
      </c>
      <c r="D73">
        <v>0.9919</v>
      </c>
      <c r="E73">
        <v>338.5</v>
      </c>
      <c r="F73">
        <v>101330</v>
      </c>
      <c r="G73" t="s">
        <v>26</v>
      </c>
      <c r="H73">
        <v>0.99086980000000002</v>
      </c>
      <c r="I73">
        <f t="shared" si="4"/>
        <v>0.10386127633833867</v>
      </c>
      <c r="J73">
        <v>338.30745999999999</v>
      </c>
      <c r="K73">
        <f t="shared" si="5"/>
        <v>5.6880354505172273E-2</v>
      </c>
    </row>
    <row r="74" spans="1:11" x14ac:dyDescent="0.4">
      <c r="A74" t="s">
        <v>7</v>
      </c>
      <c r="B74" t="s">
        <v>27</v>
      </c>
      <c r="C74">
        <v>0.98740000000000006</v>
      </c>
      <c r="D74">
        <v>0.997</v>
      </c>
      <c r="E74">
        <v>337.95</v>
      </c>
      <c r="F74">
        <v>101330</v>
      </c>
      <c r="G74" t="s">
        <v>26</v>
      </c>
      <c r="H74">
        <v>0.99657229999999997</v>
      </c>
      <c r="I74">
        <f t="shared" si="4"/>
        <v>4.2898696088267886E-2</v>
      </c>
      <c r="J74">
        <v>337.92011000000002</v>
      </c>
      <c r="K74">
        <f t="shared" si="5"/>
        <v>8.8445036247865715E-3</v>
      </c>
    </row>
    <row r="75" spans="1:11" x14ac:dyDescent="0.4">
      <c r="A75" t="s">
        <v>7</v>
      </c>
      <c r="B75" t="s">
        <v>27</v>
      </c>
      <c r="C75">
        <v>1</v>
      </c>
      <c r="D75">
        <v>1</v>
      </c>
      <c r="E75">
        <v>337.65</v>
      </c>
      <c r="F75">
        <v>101330</v>
      </c>
      <c r="G75" t="s">
        <v>26</v>
      </c>
      <c r="H75">
        <v>1</v>
      </c>
      <c r="I75">
        <f t="shared" si="4"/>
        <v>0</v>
      </c>
      <c r="J75">
        <v>337.68601000000001</v>
      </c>
      <c r="K75">
        <f t="shared" si="5"/>
        <v>1.0664889678671099E-2</v>
      </c>
    </row>
    <row r="76" spans="1:11" x14ac:dyDescent="0.4">
      <c r="A76" t="s">
        <v>7</v>
      </c>
      <c r="B76" t="s">
        <v>27</v>
      </c>
      <c r="C76">
        <v>0</v>
      </c>
      <c r="D76">
        <v>0</v>
      </c>
      <c r="E76">
        <v>372.7</v>
      </c>
      <c r="F76">
        <v>101300</v>
      </c>
      <c r="G76" t="s">
        <v>26</v>
      </c>
      <c r="H76">
        <v>0</v>
      </c>
      <c r="I76">
        <v>0</v>
      </c>
      <c r="J76">
        <v>372.91968000000003</v>
      </c>
      <c r="K76">
        <f t="shared" si="5"/>
        <v>5.8942849476801555E-2</v>
      </c>
    </row>
    <row r="77" spans="1:11" x14ac:dyDescent="0.4">
      <c r="A77" t="s">
        <v>7</v>
      </c>
      <c r="B77" t="s">
        <v>27</v>
      </c>
      <c r="C77">
        <v>8.1600000000000006E-2</v>
      </c>
      <c r="D77">
        <v>0.25990000000000002</v>
      </c>
      <c r="E77">
        <v>367.83</v>
      </c>
      <c r="F77">
        <v>101300</v>
      </c>
      <c r="G77" t="s">
        <v>26</v>
      </c>
      <c r="H77">
        <v>0.25864999999999999</v>
      </c>
      <c r="I77">
        <f t="shared" si="4"/>
        <v>0.48095421315891829</v>
      </c>
      <c r="J77">
        <v>367.20591999999999</v>
      </c>
      <c r="K77">
        <f t="shared" si="5"/>
        <v>0.16966533452953597</v>
      </c>
    </row>
    <row r="78" spans="1:11" x14ac:dyDescent="0.4">
      <c r="A78" t="s">
        <v>7</v>
      </c>
      <c r="B78" t="s">
        <v>27</v>
      </c>
      <c r="C78">
        <v>0.104</v>
      </c>
      <c r="D78">
        <v>0.31130000000000002</v>
      </c>
      <c r="E78">
        <v>367</v>
      </c>
      <c r="F78">
        <v>101300</v>
      </c>
      <c r="G78" t="s">
        <v>26</v>
      </c>
      <c r="H78">
        <v>0.31425170000000002</v>
      </c>
      <c r="I78">
        <f t="shared" si="4"/>
        <v>0.94818503051718639</v>
      </c>
      <c r="J78">
        <v>365.81790999999998</v>
      </c>
      <c r="K78">
        <f t="shared" si="5"/>
        <v>0.32209536784741594</v>
      </c>
    </row>
    <row r="79" spans="1:11" x14ac:dyDescent="0.4">
      <c r="A79" t="s">
        <v>7</v>
      </c>
      <c r="B79" t="s">
        <v>27</v>
      </c>
      <c r="C79">
        <v>0.1366</v>
      </c>
      <c r="D79">
        <v>0.40050000000000002</v>
      </c>
      <c r="E79">
        <v>364.55</v>
      </c>
      <c r="F79">
        <v>101300</v>
      </c>
      <c r="G79" t="s">
        <v>26</v>
      </c>
      <c r="H79">
        <v>0.38618530000000001</v>
      </c>
      <c r="I79">
        <f t="shared" si="4"/>
        <v>3.5742072409488173</v>
      </c>
      <c r="J79">
        <v>363.91577999999998</v>
      </c>
      <c r="K79">
        <f t="shared" si="5"/>
        <v>0.17397339185297697</v>
      </c>
    </row>
    <row r="80" spans="1:11" x14ac:dyDescent="0.4">
      <c r="A80" t="s">
        <v>7</v>
      </c>
      <c r="B80" t="s">
        <v>27</v>
      </c>
      <c r="C80">
        <v>0.18990000000000001</v>
      </c>
      <c r="D80">
        <v>0.47739999999999999</v>
      </c>
      <c r="E80">
        <v>362.3</v>
      </c>
      <c r="F80">
        <v>101300</v>
      </c>
      <c r="G80" t="s">
        <v>26</v>
      </c>
      <c r="H80">
        <v>0.48497279999999998</v>
      </c>
      <c r="I80">
        <f t="shared" si="4"/>
        <v>1.5862589023879325</v>
      </c>
      <c r="J80">
        <v>361.07312999999999</v>
      </c>
      <c r="K80">
        <f t="shared" ref="K80:K97" si="6">100*ABS((J80-E80)/E80)</f>
        <v>0.33863372895391092</v>
      </c>
    </row>
    <row r="81" spans="1:11" x14ac:dyDescent="0.4">
      <c r="A81" t="s">
        <v>7</v>
      </c>
      <c r="B81" t="s">
        <v>27</v>
      </c>
      <c r="C81">
        <v>0.24840000000000001</v>
      </c>
      <c r="D81">
        <v>0.56599999999999995</v>
      </c>
      <c r="E81">
        <v>360.17</v>
      </c>
      <c r="F81">
        <v>101300</v>
      </c>
      <c r="G81" t="s">
        <v>26</v>
      </c>
      <c r="H81">
        <v>0.5725055</v>
      </c>
      <c r="I81">
        <f t="shared" si="4"/>
        <v>1.1493816254417055</v>
      </c>
      <c r="J81">
        <v>358.28104999999999</v>
      </c>
      <c r="K81">
        <f t="shared" si="6"/>
        <v>0.52446067134964669</v>
      </c>
    </row>
    <row r="82" spans="1:11" x14ac:dyDescent="0.4">
      <c r="A82" t="s">
        <v>7</v>
      </c>
      <c r="B82" t="s">
        <v>27</v>
      </c>
      <c r="C82">
        <v>0.28670000000000001</v>
      </c>
      <c r="D82">
        <v>0.63280000000000003</v>
      </c>
      <c r="E82">
        <v>357.28</v>
      </c>
      <c r="F82">
        <v>101300</v>
      </c>
      <c r="G82" t="s">
        <v>26</v>
      </c>
      <c r="H82">
        <v>0.62062050000000002</v>
      </c>
      <c r="I82">
        <f t="shared" si="4"/>
        <v>1.924699747155501</v>
      </c>
      <c r="J82">
        <v>356.61266000000001</v>
      </c>
      <c r="K82">
        <f t="shared" si="6"/>
        <v>0.18678347514553501</v>
      </c>
    </row>
    <row r="83" spans="1:11" x14ac:dyDescent="0.4">
      <c r="A83" t="s">
        <v>7</v>
      </c>
      <c r="B83" t="s">
        <v>27</v>
      </c>
      <c r="C83">
        <v>0.3306</v>
      </c>
      <c r="D83">
        <v>0.6744</v>
      </c>
      <c r="E83">
        <v>356.19</v>
      </c>
      <c r="F83">
        <v>101300</v>
      </c>
      <c r="G83" t="s">
        <v>26</v>
      </c>
      <c r="H83">
        <v>0.66862809999999995</v>
      </c>
      <c r="I83">
        <f t="shared" si="4"/>
        <v>0.85585705812574919</v>
      </c>
      <c r="J83">
        <v>354.83582000000001</v>
      </c>
      <c r="K83">
        <f t="shared" si="6"/>
        <v>0.38018473286728582</v>
      </c>
    </row>
    <row r="84" spans="1:11" x14ac:dyDescent="0.4">
      <c r="A84" t="s">
        <v>7</v>
      </c>
      <c r="B84" t="s">
        <v>27</v>
      </c>
      <c r="C84">
        <v>0.37659999999999999</v>
      </c>
      <c r="D84">
        <v>0.72340000000000004</v>
      </c>
      <c r="E84">
        <v>353.53</v>
      </c>
      <c r="F84">
        <v>101300</v>
      </c>
      <c r="G84" t="s">
        <v>26</v>
      </c>
      <c r="H84">
        <v>0.71219209999999999</v>
      </c>
      <c r="I84">
        <f t="shared" si="4"/>
        <v>1.5493364666851048</v>
      </c>
      <c r="J84">
        <v>353.11178000000001</v>
      </c>
      <c r="K84">
        <f t="shared" si="6"/>
        <v>0.11829830566004655</v>
      </c>
    </row>
    <row r="85" spans="1:11" x14ac:dyDescent="0.4">
      <c r="A85" t="s">
        <v>7</v>
      </c>
      <c r="B85" t="s">
        <v>27</v>
      </c>
      <c r="C85">
        <v>0.42759999999999998</v>
      </c>
      <c r="D85">
        <v>0.76349999999999996</v>
      </c>
      <c r="E85">
        <v>352.18</v>
      </c>
      <c r="F85">
        <v>101300</v>
      </c>
      <c r="G85" t="s">
        <v>26</v>
      </c>
      <c r="H85">
        <v>0.75392349999999997</v>
      </c>
      <c r="I85">
        <f t="shared" si="4"/>
        <v>1.2542894564505551</v>
      </c>
      <c r="J85">
        <v>351.34546999999998</v>
      </c>
      <c r="K85">
        <f t="shared" si="6"/>
        <v>0.23696121301607964</v>
      </c>
    </row>
    <row r="86" spans="1:11" x14ac:dyDescent="0.4">
      <c r="A86" t="s">
        <v>7</v>
      </c>
      <c r="B86" t="s">
        <v>27</v>
      </c>
      <c r="C86">
        <v>0.49299999999999999</v>
      </c>
      <c r="D86">
        <v>0.80559999999999998</v>
      </c>
      <c r="E86">
        <v>350.63</v>
      </c>
      <c r="F86">
        <v>101300</v>
      </c>
      <c r="G86" t="s">
        <v>26</v>
      </c>
      <c r="H86">
        <v>0.79937389999999997</v>
      </c>
      <c r="I86">
        <f t="shared" si="4"/>
        <v>0.77285253227408302</v>
      </c>
      <c r="J86">
        <v>349.27406999999999</v>
      </c>
      <c r="K86">
        <f t="shared" si="6"/>
        <v>0.38671248894846438</v>
      </c>
    </row>
    <row r="87" spans="1:11" x14ac:dyDescent="0.4">
      <c r="A87" t="s">
        <v>7</v>
      </c>
      <c r="B87" t="s">
        <v>27</v>
      </c>
      <c r="C87">
        <v>0.54300000000000004</v>
      </c>
      <c r="D87">
        <v>0.83179999999999998</v>
      </c>
      <c r="E87">
        <v>349.43</v>
      </c>
      <c r="F87">
        <v>101300</v>
      </c>
      <c r="G87" t="s">
        <v>26</v>
      </c>
      <c r="H87">
        <v>0.82923769999999997</v>
      </c>
      <c r="I87">
        <f t="shared" si="4"/>
        <v>0.30804279874970153</v>
      </c>
      <c r="J87">
        <v>347.81745000000001</v>
      </c>
      <c r="K87">
        <f t="shared" si="6"/>
        <v>0.46148012477463263</v>
      </c>
    </row>
    <row r="88" spans="1:11" x14ac:dyDescent="0.4">
      <c r="A88" t="s">
        <v>7</v>
      </c>
      <c r="B88" t="s">
        <v>27</v>
      </c>
      <c r="C88">
        <v>0.56479999999999997</v>
      </c>
      <c r="D88">
        <v>0.8498</v>
      </c>
      <c r="E88">
        <v>348.1</v>
      </c>
      <c r="F88">
        <v>101300</v>
      </c>
      <c r="G88" t="s">
        <v>26</v>
      </c>
      <c r="H88">
        <v>0.84115399999999996</v>
      </c>
      <c r="I88">
        <f t="shared" si="4"/>
        <v>1.0174158625559004</v>
      </c>
      <c r="J88">
        <v>347.21294999999998</v>
      </c>
      <c r="K88">
        <f t="shared" si="6"/>
        <v>0.25482619936801054</v>
      </c>
    </row>
    <row r="89" spans="1:11" x14ac:dyDescent="0.4">
      <c r="A89" t="s">
        <v>7</v>
      </c>
      <c r="B89" t="s">
        <v>27</v>
      </c>
      <c r="C89">
        <v>0.60970000000000002</v>
      </c>
      <c r="D89">
        <v>0.86229999999999996</v>
      </c>
      <c r="E89">
        <v>347.02</v>
      </c>
      <c r="F89">
        <v>101300</v>
      </c>
      <c r="G89" t="s">
        <v>26</v>
      </c>
      <c r="H89">
        <v>0.86387789999999998</v>
      </c>
      <c r="I89">
        <f t="shared" si="4"/>
        <v>0.18298735938768654</v>
      </c>
      <c r="J89">
        <v>346.02080000000001</v>
      </c>
      <c r="K89">
        <f t="shared" si="6"/>
        <v>0.28793729468041424</v>
      </c>
    </row>
    <row r="90" spans="1:11" x14ac:dyDescent="0.4">
      <c r="A90" t="s">
        <v>7</v>
      </c>
      <c r="B90" t="s">
        <v>27</v>
      </c>
      <c r="C90">
        <v>0.64119999999999999</v>
      </c>
      <c r="D90">
        <v>0.87649999999999995</v>
      </c>
      <c r="E90">
        <v>346.51</v>
      </c>
      <c r="F90">
        <v>101300</v>
      </c>
      <c r="G90" t="s">
        <v>26</v>
      </c>
      <c r="H90">
        <v>0.87852819999999998</v>
      </c>
      <c r="I90">
        <f t="shared" si="4"/>
        <v>0.2313976041072488</v>
      </c>
      <c r="J90">
        <v>345.22343999999998</v>
      </c>
      <c r="K90">
        <f t="shared" si="6"/>
        <v>0.3712908718363131</v>
      </c>
    </row>
    <row r="91" spans="1:11" x14ac:dyDescent="0.4">
      <c r="A91" t="s">
        <v>7</v>
      </c>
      <c r="B91" t="s">
        <v>27</v>
      </c>
      <c r="C91">
        <v>0.6875</v>
      </c>
      <c r="D91">
        <v>0.89600000000000002</v>
      </c>
      <c r="E91">
        <v>344.85</v>
      </c>
      <c r="F91">
        <v>101300</v>
      </c>
      <c r="G91" t="s">
        <v>26</v>
      </c>
      <c r="H91">
        <v>0.89840390000000003</v>
      </c>
      <c r="I91">
        <f t="shared" si="4"/>
        <v>0.26829241071428733</v>
      </c>
      <c r="J91">
        <v>344.10383000000002</v>
      </c>
      <c r="K91">
        <f t="shared" si="6"/>
        <v>0.21637523560968722</v>
      </c>
    </row>
    <row r="92" spans="1:11" x14ac:dyDescent="0.4">
      <c r="A92" t="s">
        <v>7</v>
      </c>
      <c r="B92" t="s">
        <v>27</v>
      </c>
      <c r="C92">
        <v>0.69820000000000004</v>
      </c>
      <c r="D92">
        <v>0.90159999999999996</v>
      </c>
      <c r="E92">
        <v>344.56</v>
      </c>
      <c r="F92">
        <v>101300</v>
      </c>
      <c r="G92" t="s">
        <v>26</v>
      </c>
      <c r="H92">
        <v>0.90274620000000005</v>
      </c>
      <c r="I92">
        <f t="shared" si="4"/>
        <v>0.12712954747117314</v>
      </c>
      <c r="J92">
        <v>343.85325999999998</v>
      </c>
      <c r="K92">
        <f t="shared" si="6"/>
        <v>0.20511376828419572</v>
      </c>
    </row>
    <row r="93" spans="1:11" x14ac:dyDescent="0.4">
      <c r="A93" t="s">
        <v>7</v>
      </c>
      <c r="B93" t="s">
        <v>27</v>
      </c>
      <c r="C93">
        <v>0.75229999999999997</v>
      </c>
      <c r="D93">
        <v>0.9194</v>
      </c>
      <c r="E93">
        <v>343.55</v>
      </c>
      <c r="F93">
        <v>101300</v>
      </c>
      <c r="G93" t="s">
        <v>26</v>
      </c>
      <c r="H93">
        <v>0.92344530000000002</v>
      </c>
      <c r="I93">
        <f t="shared" si="4"/>
        <v>0.43999347400478894</v>
      </c>
      <c r="J93">
        <v>342.62869999999998</v>
      </c>
      <c r="K93">
        <f t="shared" si="6"/>
        <v>0.26817057196915461</v>
      </c>
    </row>
    <row r="94" spans="1:11" x14ac:dyDescent="0.4">
      <c r="A94" t="s">
        <v>7</v>
      </c>
      <c r="B94" t="s">
        <v>27</v>
      </c>
      <c r="C94">
        <v>0.7712</v>
      </c>
      <c r="D94">
        <v>0.92500000000000004</v>
      </c>
      <c r="E94">
        <v>342.73</v>
      </c>
      <c r="F94">
        <v>101300</v>
      </c>
      <c r="G94" t="s">
        <v>26</v>
      </c>
      <c r="H94">
        <v>0.93023219999999995</v>
      </c>
      <c r="I94">
        <f t="shared" si="4"/>
        <v>0.56564324324323345</v>
      </c>
      <c r="J94">
        <v>342.21625</v>
      </c>
      <c r="K94">
        <f t="shared" si="6"/>
        <v>0.14989933767105765</v>
      </c>
    </row>
    <row r="95" spans="1:11" x14ac:dyDescent="0.4">
      <c r="A95" t="s">
        <v>7</v>
      </c>
      <c r="B95" t="s">
        <v>27</v>
      </c>
      <c r="C95">
        <v>0.85750000000000004</v>
      </c>
      <c r="D95">
        <v>0.95609999999999995</v>
      </c>
      <c r="E95">
        <v>341.39</v>
      </c>
      <c r="F95">
        <v>101300</v>
      </c>
      <c r="G95" t="s">
        <v>26</v>
      </c>
      <c r="H95">
        <v>0.95884210000000003</v>
      </c>
      <c r="I95">
        <f t="shared" si="4"/>
        <v>0.28680054387617204</v>
      </c>
      <c r="J95">
        <v>340.41849999999999</v>
      </c>
      <c r="K95">
        <f t="shared" si="6"/>
        <v>0.28457189724361931</v>
      </c>
    </row>
    <row r="96" spans="1:11" x14ac:dyDescent="0.4">
      <c r="A96" t="s">
        <v>7</v>
      </c>
      <c r="B96" t="s">
        <v>27</v>
      </c>
      <c r="C96">
        <v>0.89229999999999998</v>
      </c>
      <c r="D96">
        <v>0.9647</v>
      </c>
      <c r="E96">
        <v>340.73</v>
      </c>
      <c r="F96">
        <v>101300</v>
      </c>
      <c r="G96" t="s">
        <v>26</v>
      </c>
      <c r="H96">
        <v>0.9694661</v>
      </c>
      <c r="I96">
        <f t="shared" si="4"/>
        <v>0.49404996371929044</v>
      </c>
      <c r="J96">
        <v>339.72737999999998</v>
      </c>
      <c r="K96">
        <f t="shared" si="6"/>
        <v>0.29425644938808904</v>
      </c>
    </row>
    <row r="97" spans="1:11" x14ac:dyDescent="0.4">
      <c r="A97" t="s">
        <v>7</v>
      </c>
      <c r="B97" t="s">
        <v>27</v>
      </c>
      <c r="C97">
        <v>1</v>
      </c>
      <c r="D97">
        <v>1</v>
      </c>
      <c r="E97">
        <v>337.83</v>
      </c>
      <c r="F97">
        <v>101300</v>
      </c>
      <c r="G97" t="s">
        <v>26</v>
      </c>
      <c r="H97">
        <v>1</v>
      </c>
      <c r="I97">
        <f t="shared" si="4"/>
        <v>0</v>
      </c>
      <c r="J97">
        <v>337.67849000000001</v>
      </c>
      <c r="K97">
        <f>100*ABS((J97-E97)/E97)</f>
        <v>4.4848000473603114E-2</v>
      </c>
    </row>
    <row r="98" spans="1:11" x14ac:dyDescent="0.4">
      <c r="A98" t="s">
        <v>30</v>
      </c>
      <c r="B98" t="s">
        <v>31</v>
      </c>
      <c r="C98">
        <v>0</v>
      </c>
      <c r="D98">
        <v>0</v>
      </c>
      <c r="E98">
        <v>358.7</v>
      </c>
      <c r="F98">
        <v>120000</v>
      </c>
      <c r="G98" t="s">
        <v>26</v>
      </c>
      <c r="H98">
        <v>0</v>
      </c>
      <c r="I98">
        <v>0</v>
      </c>
      <c r="J98">
        <v>358.70236</v>
      </c>
      <c r="K98">
        <f t="shared" ref="K98:K130" si="7">100*ABS((J98-E98)/E98)</f>
        <v>6.5793141901592748E-4</v>
      </c>
    </row>
    <row r="99" spans="1:11" x14ac:dyDescent="0.4">
      <c r="A99" t="s">
        <v>30</v>
      </c>
      <c r="B99" t="s">
        <v>31</v>
      </c>
      <c r="C99">
        <v>6.3799999999999996E-2</v>
      </c>
      <c r="D99">
        <v>6.1199999999999997E-2</v>
      </c>
      <c r="E99">
        <v>358.7</v>
      </c>
      <c r="F99">
        <v>120000</v>
      </c>
      <c r="G99" t="s">
        <v>26</v>
      </c>
      <c r="H99">
        <v>8.1257399999999994E-2</v>
      </c>
      <c r="I99">
        <f t="shared" si="4"/>
        <v>32.773529411764699</v>
      </c>
      <c r="J99">
        <v>358.07263999999998</v>
      </c>
      <c r="K99">
        <f t="shared" si="7"/>
        <v>0.17489824365765547</v>
      </c>
    </row>
    <row r="100" spans="1:11" x14ac:dyDescent="0.4">
      <c r="A100" t="s">
        <v>30</v>
      </c>
      <c r="B100" t="s">
        <v>31</v>
      </c>
      <c r="C100">
        <v>0.10340000000000001</v>
      </c>
      <c r="D100">
        <v>9.9599999999999994E-2</v>
      </c>
      <c r="E100">
        <v>358.75</v>
      </c>
      <c r="F100">
        <v>120000</v>
      </c>
      <c r="G100" t="s">
        <v>26</v>
      </c>
      <c r="H100">
        <v>0.1282943</v>
      </c>
      <c r="I100">
        <f t="shared" si="4"/>
        <v>28.809538152610447</v>
      </c>
      <c r="J100">
        <v>357.72719000000001</v>
      </c>
      <c r="K100">
        <f t="shared" si="7"/>
        <v>0.2851038327526112</v>
      </c>
    </row>
    <row r="101" spans="1:11" x14ac:dyDescent="0.4">
      <c r="A101" t="s">
        <v>30</v>
      </c>
      <c r="B101" t="s">
        <v>31</v>
      </c>
      <c r="C101">
        <v>0.11559999999999999</v>
      </c>
      <c r="D101">
        <v>0.1128</v>
      </c>
      <c r="E101">
        <v>358.75</v>
      </c>
      <c r="F101">
        <v>120000</v>
      </c>
      <c r="G101" t="s">
        <v>26</v>
      </c>
      <c r="H101">
        <v>0.1423082</v>
      </c>
      <c r="I101">
        <f t="shared" si="4"/>
        <v>26.159751773049646</v>
      </c>
      <c r="J101">
        <v>357.62756999999999</v>
      </c>
      <c r="K101">
        <f t="shared" si="7"/>
        <v>0.3128724738675982</v>
      </c>
    </row>
    <row r="102" spans="1:11" x14ac:dyDescent="0.4">
      <c r="A102" t="s">
        <v>30</v>
      </c>
      <c r="B102" t="s">
        <v>31</v>
      </c>
      <c r="C102">
        <v>0.14940000000000001</v>
      </c>
      <c r="D102">
        <v>0.1467</v>
      </c>
      <c r="E102">
        <v>358.8</v>
      </c>
      <c r="F102">
        <v>120000</v>
      </c>
      <c r="G102" t="s">
        <v>26</v>
      </c>
      <c r="H102">
        <v>0.18004120000000001</v>
      </c>
      <c r="I102">
        <f t="shared" si="4"/>
        <v>22.727471029311531</v>
      </c>
      <c r="J102">
        <v>357.36799999999999</v>
      </c>
      <c r="K102">
        <f t="shared" si="7"/>
        <v>0.39910813823857755</v>
      </c>
    </row>
    <row r="103" spans="1:11" x14ac:dyDescent="0.4">
      <c r="A103" t="s">
        <v>30</v>
      </c>
      <c r="B103" t="s">
        <v>31</v>
      </c>
      <c r="C103">
        <v>0.15260000000000001</v>
      </c>
      <c r="D103">
        <v>0.15110000000000001</v>
      </c>
      <c r="E103">
        <v>358.8</v>
      </c>
      <c r="F103">
        <v>120000</v>
      </c>
      <c r="G103" t="s">
        <v>26</v>
      </c>
      <c r="H103">
        <v>0.1835338</v>
      </c>
      <c r="I103">
        <f t="shared" ref="I103:I130" si="8">100*ABS((H103-D103)/D103)</f>
        <v>21.465122435473187</v>
      </c>
      <c r="J103">
        <v>357.34465999999998</v>
      </c>
      <c r="K103">
        <f t="shared" si="7"/>
        <v>0.40561315496099082</v>
      </c>
    </row>
    <row r="104" spans="1:11" x14ac:dyDescent="0.4">
      <c r="A104" t="s">
        <v>30</v>
      </c>
      <c r="B104" t="s">
        <v>31</v>
      </c>
      <c r="C104">
        <v>0.19500000000000001</v>
      </c>
      <c r="D104">
        <v>0.19320000000000001</v>
      </c>
      <c r="E104">
        <v>358.85</v>
      </c>
      <c r="F104">
        <v>120000</v>
      </c>
      <c r="G104" t="s">
        <v>26</v>
      </c>
      <c r="H104">
        <v>0.2285991</v>
      </c>
      <c r="I104">
        <f t="shared" si="8"/>
        <v>18.322515527950305</v>
      </c>
      <c r="J104">
        <v>357.05518999999998</v>
      </c>
      <c r="K104">
        <f t="shared" si="7"/>
        <v>0.50015605406159702</v>
      </c>
    </row>
    <row r="105" spans="1:11" x14ac:dyDescent="0.4">
      <c r="A105" t="s">
        <v>30</v>
      </c>
      <c r="B105" t="s">
        <v>31</v>
      </c>
      <c r="C105">
        <v>0.2198</v>
      </c>
      <c r="D105">
        <v>0.2185</v>
      </c>
      <c r="E105">
        <v>358.85</v>
      </c>
      <c r="F105">
        <v>120000</v>
      </c>
      <c r="G105" t="s">
        <v>26</v>
      </c>
      <c r="H105">
        <v>0.25397930000000002</v>
      </c>
      <c r="I105">
        <f t="shared" si="8"/>
        <v>16.237665903890168</v>
      </c>
      <c r="J105">
        <v>356.90264999999999</v>
      </c>
      <c r="K105">
        <f t="shared" si="7"/>
        <v>0.54266406576564807</v>
      </c>
    </row>
    <row r="106" spans="1:11" x14ac:dyDescent="0.4">
      <c r="A106" t="s">
        <v>30</v>
      </c>
      <c r="B106" t="s">
        <v>31</v>
      </c>
      <c r="C106">
        <v>0.2336</v>
      </c>
      <c r="D106">
        <v>0.23380000000000001</v>
      </c>
      <c r="E106">
        <v>358.85</v>
      </c>
      <c r="F106">
        <v>120000</v>
      </c>
      <c r="G106" t="s">
        <v>26</v>
      </c>
      <c r="H106">
        <v>0.26781300000000002</v>
      </c>
      <c r="I106">
        <f t="shared" si="8"/>
        <v>14.547904191616773</v>
      </c>
      <c r="J106">
        <v>356.82303000000002</v>
      </c>
      <c r="K106">
        <f t="shared" si="7"/>
        <v>0.56485160930751166</v>
      </c>
    </row>
    <row r="107" spans="1:11" x14ac:dyDescent="0.4">
      <c r="A107" t="s">
        <v>30</v>
      </c>
      <c r="B107" t="s">
        <v>31</v>
      </c>
      <c r="C107">
        <v>0.26100000000000001</v>
      </c>
      <c r="D107">
        <v>0.26350000000000001</v>
      </c>
      <c r="E107">
        <v>358.8</v>
      </c>
      <c r="F107">
        <v>120000</v>
      </c>
      <c r="G107" t="s">
        <v>26</v>
      </c>
      <c r="H107">
        <v>0.29470770000000002</v>
      </c>
      <c r="I107">
        <f t="shared" si="8"/>
        <v>11.843529411764706</v>
      </c>
      <c r="J107">
        <v>356.67595</v>
      </c>
      <c r="K107">
        <f t="shared" si="7"/>
        <v>0.5919871794871826</v>
      </c>
    </row>
    <row r="108" spans="1:11" x14ac:dyDescent="0.4">
      <c r="A108" t="s">
        <v>30</v>
      </c>
      <c r="B108" t="s">
        <v>31</v>
      </c>
      <c r="C108">
        <v>0.26550000000000001</v>
      </c>
      <c r="D108">
        <v>0.26850000000000002</v>
      </c>
      <c r="E108">
        <v>358.8</v>
      </c>
      <c r="F108">
        <v>120000</v>
      </c>
      <c r="G108" t="s">
        <v>26</v>
      </c>
      <c r="H108">
        <v>0.29905530000000002</v>
      </c>
      <c r="I108">
        <f t="shared" si="8"/>
        <v>11.380000000000003</v>
      </c>
      <c r="J108">
        <v>356.65318000000002</v>
      </c>
      <c r="K108">
        <f t="shared" si="7"/>
        <v>0.59833333333333083</v>
      </c>
    </row>
    <row r="109" spans="1:11" x14ac:dyDescent="0.4">
      <c r="A109" t="s">
        <v>30</v>
      </c>
      <c r="B109" t="s">
        <v>31</v>
      </c>
      <c r="C109">
        <v>0.27710000000000001</v>
      </c>
      <c r="D109">
        <v>0.27910000000000001</v>
      </c>
      <c r="E109">
        <v>358.75</v>
      </c>
      <c r="F109">
        <v>120000</v>
      </c>
      <c r="G109" t="s">
        <v>26</v>
      </c>
      <c r="H109">
        <v>0.31017679999999997</v>
      </c>
      <c r="I109">
        <f t="shared" si="8"/>
        <v>11.134647079899661</v>
      </c>
      <c r="J109">
        <v>356.59627</v>
      </c>
      <c r="K109">
        <f t="shared" si="7"/>
        <v>0.60034285714285596</v>
      </c>
    </row>
    <row r="110" spans="1:11" x14ac:dyDescent="0.4">
      <c r="A110" t="s">
        <v>30</v>
      </c>
      <c r="B110" t="s">
        <v>31</v>
      </c>
      <c r="C110">
        <v>0.2959</v>
      </c>
      <c r="D110">
        <v>0.29949999999999999</v>
      </c>
      <c r="E110">
        <v>358.75</v>
      </c>
      <c r="F110">
        <v>120000</v>
      </c>
      <c r="G110" t="s">
        <v>26</v>
      </c>
      <c r="H110">
        <v>0.32794859999999998</v>
      </c>
      <c r="I110">
        <f t="shared" si="8"/>
        <v>9.4986978297161908</v>
      </c>
      <c r="J110">
        <v>356.50947000000002</v>
      </c>
      <c r="K110">
        <f t="shared" si="7"/>
        <v>0.62453797909407061</v>
      </c>
    </row>
    <row r="111" spans="1:11" x14ac:dyDescent="0.4">
      <c r="A111" t="s">
        <v>30</v>
      </c>
      <c r="B111" t="s">
        <v>31</v>
      </c>
      <c r="C111">
        <v>0.31740000000000002</v>
      </c>
      <c r="D111">
        <v>0.32240000000000002</v>
      </c>
      <c r="E111">
        <v>358.65</v>
      </c>
      <c r="F111">
        <v>120000</v>
      </c>
      <c r="G111" t="s">
        <v>26</v>
      </c>
      <c r="H111">
        <v>0.34791309999999998</v>
      </c>
      <c r="I111">
        <f t="shared" si="8"/>
        <v>7.9134925558312519</v>
      </c>
      <c r="J111">
        <v>356.41838000000001</v>
      </c>
      <c r="K111">
        <f t="shared" si="7"/>
        <v>0.62222779868952016</v>
      </c>
    </row>
    <row r="112" spans="1:11" x14ac:dyDescent="0.4">
      <c r="A112" t="s">
        <v>30</v>
      </c>
      <c r="B112" t="s">
        <v>31</v>
      </c>
      <c r="C112">
        <v>0.3417</v>
      </c>
      <c r="D112">
        <v>0.3488</v>
      </c>
      <c r="E112">
        <v>358.65</v>
      </c>
      <c r="F112">
        <v>120000</v>
      </c>
      <c r="G112" t="s">
        <v>26</v>
      </c>
      <c r="H112">
        <v>0.3700522</v>
      </c>
      <c r="I112">
        <f t="shared" si="8"/>
        <v>6.0929472477064222</v>
      </c>
      <c r="J112">
        <v>356.32580000000002</v>
      </c>
      <c r="K112">
        <f t="shared" si="7"/>
        <v>0.64804126585806832</v>
      </c>
    </row>
    <row r="113" spans="1:11" x14ac:dyDescent="0.4">
      <c r="A113" t="s">
        <v>30</v>
      </c>
      <c r="B113" t="s">
        <v>31</v>
      </c>
      <c r="C113">
        <v>0.38279999999999997</v>
      </c>
      <c r="D113">
        <v>0.3926</v>
      </c>
      <c r="E113">
        <v>358.55</v>
      </c>
      <c r="F113">
        <v>120000</v>
      </c>
      <c r="G113" t="s">
        <v>26</v>
      </c>
      <c r="H113">
        <v>0.40658889999999998</v>
      </c>
      <c r="I113">
        <f t="shared" si="8"/>
        <v>3.5631431482424785</v>
      </c>
      <c r="J113">
        <v>356.19403</v>
      </c>
      <c r="K113">
        <f t="shared" si="7"/>
        <v>0.65708269418491516</v>
      </c>
    </row>
    <row r="114" spans="1:11" x14ac:dyDescent="0.4">
      <c r="A114" t="s">
        <v>30</v>
      </c>
      <c r="B114" t="s">
        <v>31</v>
      </c>
      <c r="C114">
        <v>0.51690000000000003</v>
      </c>
      <c r="D114">
        <v>0.52929999999999999</v>
      </c>
      <c r="E114">
        <v>358.25</v>
      </c>
      <c r="F114">
        <v>120000</v>
      </c>
      <c r="G114" t="s">
        <v>26</v>
      </c>
      <c r="H114">
        <v>0.52025739999999998</v>
      </c>
      <c r="I114">
        <f t="shared" si="8"/>
        <v>1.7084073304364278</v>
      </c>
      <c r="J114">
        <v>355.97895999999997</v>
      </c>
      <c r="K114">
        <f t="shared" si="7"/>
        <v>0.63392602930914943</v>
      </c>
    </row>
    <row r="115" spans="1:11" x14ac:dyDescent="0.4">
      <c r="A115" t="s">
        <v>30</v>
      </c>
      <c r="B115" t="s">
        <v>31</v>
      </c>
      <c r="C115">
        <v>0.56000000000000005</v>
      </c>
      <c r="D115">
        <v>0.57499999999999996</v>
      </c>
      <c r="E115">
        <v>358.15</v>
      </c>
      <c r="F115">
        <v>120000</v>
      </c>
      <c r="G115" t="s">
        <v>26</v>
      </c>
      <c r="H115">
        <v>0.55587699999999995</v>
      </c>
      <c r="I115">
        <f t="shared" si="8"/>
        <v>3.325739130434783</v>
      </c>
      <c r="J115">
        <v>355.98075</v>
      </c>
      <c r="K115">
        <f t="shared" si="7"/>
        <v>0.60568197682534608</v>
      </c>
    </row>
    <row r="116" spans="1:11" x14ac:dyDescent="0.4">
      <c r="A116" t="s">
        <v>30</v>
      </c>
      <c r="B116" t="s">
        <v>31</v>
      </c>
      <c r="C116">
        <v>0.62460000000000004</v>
      </c>
      <c r="D116">
        <v>0.6371</v>
      </c>
      <c r="E116">
        <v>358.05</v>
      </c>
      <c r="F116">
        <v>120000</v>
      </c>
      <c r="G116" t="s">
        <v>26</v>
      </c>
      <c r="H116">
        <v>0.60941559999999995</v>
      </c>
      <c r="I116">
        <f t="shared" si="8"/>
        <v>4.3453774917595434</v>
      </c>
      <c r="J116">
        <v>356.05191000000002</v>
      </c>
      <c r="K116">
        <f t="shared" si="7"/>
        <v>0.55804775869291734</v>
      </c>
    </row>
    <row r="117" spans="1:11" x14ac:dyDescent="0.4">
      <c r="A117" t="s">
        <v>30</v>
      </c>
      <c r="B117" t="s">
        <v>31</v>
      </c>
      <c r="C117">
        <v>0.67830000000000001</v>
      </c>
      <c r="D117">
        <v>0.69089999999999996</v>
      </c>
      <c r="E117">
        <v>357.95</v>
      </c>
      <c r="F117">
        <v>120000</v>
      </c>
      <c r="G117" t="s">
        <v>26</v>
      </c>
      <c r="H117">
        <v>0.65475519999999998</v>
      </c>
      <c r="I117">
        <f t="shared" si="8"/>
        <v>5.2315530467506122</v>
      </c>
      <c r="J117">
        <v>356.17838999999998</v>
      </c>
      <c r="K117">
        <f t="shared" si="7"/>
        <v>0.49493225310797867</v>
      </c>
    </row>
    <row r="118" spans="1:11" x14ac:dyDescent="0.4">
      <c r="A118" t="s">
        <v>30</v>
      </c>
      <c r="B118" t="s">
        <v>31</v>
      </c>
      <c r="C118">
        <v>0.72740000000000005</v>
      </c>
      <c r="D118">
        <v>0.7349</v>
      </c>
      <c r="E118">
        <v>357.85</v>
      </c>
      <c r="F118">
        <v>120000</v>
      </c>
      <c r="G118" t="s">
        <v>26</v>
      </c>
      <c r="H118">
        <v>0.69754210000000005</v>
      </c>
      <c r="I118">
        <f t="shared" si="8"/>
        <v>5.0833991019186211</v>
      </c>
      <c r="J118">
        <v>356.35347999999999</v>
      </c>
      <c r="K118">
        <f t="shared" si="7"/>
        <v>0.41819756881375775</v>
      </c>
    </row>
    <row r="119" spans="1:11" x14ac:dyDescent="0.4">
      <c r="A119" t="s">
        <v>30</v>
      </c>
      <c r="B119" t="s">
        <v>31</v>
      </c>
      <c r="C119">
        <v>0.74870000000000003</v>
      </c>
      <c r="D119">
        <v>0.75939999999999996</v>
      </c>
      <c r="E119">
        <v>357.75</v>
      </c>
      <c r="F119">
        <v>120000</v>
      </c>
      <c r="G119" t="s">
        <v>26</v>
      </c>
      <c r="H119">
        <v>0.71667119999999995</v>
      </c>
      <c r="I119">
        <f t="shared" si="8"/>
        <v>5.6266526204898621</v>
      </c>
      <c r="J119">
        <v>356.44891000000001</v>
      </c>
      <c r="K119">
        <f t="shared" si="7"/>
        <v>0.36368693221523068</v>
      </c>
    </row>
    <row r="120" spans="1:11" x14ac:dyDescent="0.4">
      <c r="A120" t="s">
        <v>30</v>
      </c>
      <c r="B120" t="s">
        <v>31</v>
      </c>
      <c r="C120">
        <v>0.75939999999999996</v>
      </c>
      <c r="D120">
        <v>0.76249999999999996</v>
      </c>
      <c r="E120">
        <v>357.75</v>
      </c>
      <c r="F120">
        <v>120000</v>
      </c>
      <c r="G120" t="s">
        <v>26</v>
      </c>
      <c r="H120">
        <v>0.72643950000000002</v>
      </c>
      <c r="I120">
        <f t="shared" si="8"/>
        <v>4.7292459016393371</v>
      </c>
      <c r="J120">
        <v>356.50162999999998</v>
      </c>
      <c r="K120">
        <f t="shared" si="7"/>
        <v>0.34895038434661707</v>
      </c>
    </row>
    <row r="121" spans="1:11" x14ac:dyDescent="0.4">
      <c r="A121" t="s">
        <v>30</v>
      </c>
      <c r="B121" t="s">
        <v>31</v>
      </c>
      <c r="C121">
        <v>0.77</v>
      </c>
      <c r="D121">
        <v>0.77159999999999995</v>
      </c>
      <c r="E121">
        <v>357.75</v>
      </c>
      <c r="F121">
        <v>120000</v>
      </c>
      <c r="G121" t="s">
        <v>26</v>
      </c>
      <c r="H121">
        <v>0.73623240000000001</v>
      </c>
      <c r="I121">
        <f t="shared" si="8"/>
        <v>4.5836702954898838</v>
      </c>
      <c r="J121">
        <v>356.55714</v>
      </c>
      <c r="K121">
        <f t="shared" si="7"/>
        <v>0.33343396226414984</v>
      </c>
    </row>
    <row r="122" spans="1:11" x14ac:dyDescent="0.4">
      <c r="A122" t="s">
        <v>30</v>
      </c>
      <c r="B122" t="s">
        <v>31</v>
      </c>
      <c r="C122">
        <v>0.80510000000000004</v>
      </c>
      <c r="D122">
        <v>0.80600000000000005</v>
      </c>
      <c r="E122">
        <v>357.75</v>
      </c>
      <c r="F122">
        <v>120000</v>
      </c>
      <c r="G122" t="s">
        <v>26</v>
      </c>
      <c r="H122">
        <v>0.76959619999999995</v>
      </c>
      <c r="I122">
        <f t="shared" si="8"/>
        <v>4.5166004962779276</v>
      </c>
      <c r="J122">
        <v>356.76573000000002</v>
      </c>
      <c r="K122">
        <f t="shared" si="7"/>
        <v>0.27512788259957538</v>
      </c>
    </row>
    <row r="123" spans="1:11" x14ac:dyDescent="0.4">
      <c r="A123" t="s">
        <v>30</v>
      </c>
      <c r="B123" t="s">
        <v>31</v>
      </c>
      <c r="C123">
        <v>0.84660000000000002</v>
      </c>
      <c r="D123">
        <v>0.84219999999999995</v>
      </c>
      <c r="E123">
        <v>357.85</v>
      </c>
      <c r="F123">
        <v>120000</v>
      </c>
      <c r="G123" t="s">
        <v>26</v>
      </c>
      <c r="H123">
        <v>0.81129050000000003</v>
      </c>
      <c r="I123">
        <f t="shared" si="8"/>
        <v>3.6700902398480082</v>
      </c>
      <c r="J123">
        <v>357.06650000000002</v>
      </c>
      <c r="K123">
        <f t="shared" si="7"/>
        <v>0.21894648595780453</v>
      </c>
    </row>
    <row r="124" spans="1:11" x14ac:dyDescent="0.4">
      <c r="A124" t="s">
        <v>30</v>
      </c>
      <c r="B124" t="s">
        <v>31</v>
      </c>
      <c r="C124">
        <v>0.88090000000000002</v>
      </c>
      <c r="D124">
        <v>0.87380000000000002</v>
      </c>
      <c r="E124">
        <v>357.95</v>
      </c>
      <c r="F124">
        <v>120000</v>
      </c>
      <c r="G124" t="s">
        <v>26</v>
      </c>
      <c r="H124">
        <v>0.84806099999999995</v>
      </c>
      <c r="I124">
        <f t="shared" si="8"/>
        <v>2.9456397344930267</v>
      </c>
      <c r="J124">
        <v>357.36572999999999</v>
      </c>
      <c r="K124">
        <f t="shared" si="7"/>
        <v>0.16322670764073297</v>
      </c>
    </row>
    <row r="125" spans="1:11" x14ac:dyDescent="0.4">
      <c r="A125" t="s">
        <v>30</v>
      </c>
      <c r="B125" t="s">
        <v>31</v>
      </c>
      <c r="C125">
        <v>0.90890000000000004</v>
      </c>
      <c r="D125">
        <v>0.90010000000000001</v>
      </c>
      <c r="E125">
        <v>358.15</v>
      </c>
      <c r="F125">
        <v>120000</v>
      </c>
      <c r="G125" t="s">
        <v>26</v>
      </c>
      <c r="H125">
        <v>0.8799823</v>
      </c>
      <c r="I125">
        <f t="shared" si="8"/>
        <v>2.2350516609265658</v>
      </c>
      <c r="J125">
        <v>357.64886000000001</v>
      </c>
      <c r="K125">
        <f t="shared" si="7"/>
        <v>0.13992461259247913</v>
      </c>
    </row>
    <row r="126" spans="1:11" x14ac:dyDescent="0.4">
      <c r="A126" t="s">
        <v>30</v>
      </c>
      <c r="B126" t="s">
        <v>31</v>
      </c>
      <c r="C126">
        <v>0.93149999999999999</v>
      </c>
      <c r="D126">
        <v>0.92290000000000005</v>
      </c>
      <c r="E126">
        <v>358.25</v>
      </c>
      <c r="F126">
        <v>120000</v>
      </c>
      <c r="G126" t="s">
        <v>26</v>
      </c>
      <c r="H126">
        <v>0.90722170000000002</v>
      </c>
      <c r="I126">
        <f t="shared" si="8"/>
        <v>1.6988081048867736</v>
      </c>
      <c r="J126">
        <v>357.90602000000001</v>
      </c>
      <c r="K126">
        <f t="shared" si="7"/>
        <v>9.6016748080945638E-2</v>
      </c>
    </row>
    <row r="127" spans="1:11" x14ac:dyDescent="0.4">
      <c r="A127" t="s">
        <v>30</v>
      </c>
      <c r="B127" t="s">
        <v>31</v>
      </c>
      <c r="C127">
        <v>0.94940000000000002</v>
      </c>
      <c r="D127">
        <v>0.94120000000000004</v>
      </c>
      <c r="E127">
        <v>358.45</v>
      </c>
      <c r="F127">
        <v>120000</v>
      </c>
      <c r="G127" t="s">
        <v>26</v>
      </c>
      <c r="H127">
        <v>0.92986469999999999</v>
      </c>
      <c r="I127">
        <f t="shared" si="8"/>
        <v>1.204345516362096</v>
      </c>
      <c r="J127">
        <v>358.12972000000002</v>
      </c>
      <c r="K127">
        <f t="shared" si="7"/>
        <v>8.9351373971256351E-2</v>
      </c>
    </row>
    <row r="128" spans="1:11" x14ac:dyDescent="0.4">
      <c r="A128" t="s">
        <v>30</v>
      </c>
      <c r="B128" t="s">
        <v>31</v>
      </c>
      <c r="C128">
        <v>0.96</v>
      </c>
      <c r="D128">
        <v>0.95199999999999996</v>
      </c>
      <c r="E128">
        <v>358.65</v>
      </c>
      <c r="F128">
        <v>120000</v>
      </c>
      <c r="G128" t="s">
        <v>26</v>
      </c>
      <c r="H128">
        <v>0.94376539999999998</v>
      </c>
      <c r="I128">
        <f t="shared" si="8"/>
        <v>0.86497899159663671</v>
      </c>
      <c r="J128">
        <v>358.27118999999999</v>
      </c>
      <c r="K128">
        <f t="shared" si="7"/>
        <v>0.10562107904642053</v>
      </c>
    </row>
    <row r="129" spans="1:11" x14ac:dyDescent="0.4">
      <c r="A129" t="s">
        <v>30</v>
      </c>
      <c r="B129" t="s">
        <v>31</v>
      </c>
      <c r="C129">
        <v>0.97850000000000004</v>
      </c>
      <c r="D129">
        <v>0.97340000000000004</v>
      </c>
      <c r="E129">
        <v>358.75</v>
      </c>
      <c r="F129">
        <v>120000</v>
      </c>
      <c r="G129" t="s">
        <v>26</v>
      </c>
      <c r="H129">
        <v>0.96898779999999995</v>
      </c>
      <c r="I129">
        <f t="shared" si="8"/>
        <v>0.45327717279639285</v>
      </c>
      <c r="J129">
        <v>358.53530999999998</v>
      </c>
      <c r="K129">
        <f t="shared" si="7"/>
        <v>5.9843902439029609E-2</v>
      </c>
    </row>
    <row r="130" spans="1:11" x14ac:dyDescent="0.4">
      <c r="A130" t="s">
        <v>30</v>
      </c>
      <c r="B130" t="s">
        <v>31</v>
      </c>
      <c r="C130">
        <v>1</v>
      </c>
      <c r="D130">
        <v>1</v>
      </c>
      <c r="E130">
        <v>358.85</v>
      </c>
      <c r="F130">
        <v>120000</v>
      </c>
      <c r="G130" t="s">
        <v>26</v>
      </c>
      <c r="H130">
        <v>1</v>
      </c>
      <c r="I130">
        <f t="shared" si="8"/>
        <v>0</v>
      </c>
      <c r="J130">
        <v>358.87202000000002</v>
      </c>
      <c r="K130">
        <f t="shared" si="7"/>
        <v>6.1362686359196627E-3</v>
      </c>
    </row>
  </sheetData>
  <autoFilter ref="A1:M12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黎叙锐</dc:creator>
  <cp:lastModifiedBy>叙锐 黎</cp:lastModifiedBy>
  <dcterms:created xsi:type="dcterms:W3CDTF">2015-06-05T18:19:34Z</dcterms:created>
  <dcterms:modified xsi:type="dcterms:W3CDTF">2025-12-29T06:01:05Z</dcterms:modified>
</cp:coreProperties>
</file>